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eu Drive\xx - Jhony pessoal\novo\Nova pasta\"/>
    </mc:Choice>
  </mc:AlternateContent>
  <xr:revisionPtr revIDLastSave="0" documentId="13_ncr:1_{14B6FF21-EA23-417E-9944-F3A8B07A10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STEMA PRIC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" i="3" l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D12" i="3"/>
  <c r="K2" i="3" s="1"/>
  <c r="D13" i="3"/>
  <c r="L3" i="3"/>
  <c r="L4" i="3" s="1"/>
  <c r="G15" i="3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J3" i="3" l="1"/>
  <c r="H3" i="3"/>
  <c r="L5" i="3"/>
  <c r="I3" i="3" l="1"/>
  <c r="K3" i="3" s="1"/>
  <c r="J4" i="3" s="1"/>
  <c r="L6" i="3"/>
  <c r="L7" i="3" l="1"/>
  <c r="H4" i="3" l="1"/>
  <c r="L8" i="3"/>
  <c r="I4" i="3" l="1"/>
  <c r="L9" i="3"/>
  <c r="K4" i="3" l="1"/>
  <c r="J5" i="3" s="1"/>
  <c r="L10" i="3"/>
  <c r="H5" i="3" l="1"/>
  <c r="I5" i="3" s="1"/>
  <c r="K5" i="3" s="1"/>
  <c r="L11" i="3"/>
  <c r="J6" i="3" l="1"/>
  <c r="H6" i="3"/>
  <c r="L12" i="3"/>
  <c r="I6" i="3" l="1"/>
  <c r="K6" i="3" s="1"/>
  <c r="H7" i="3" s="1"/>
  <c r="L13" i="3"/>
  <c r="J7" i="3" l="1"/>
  <c r="L14" i="3"/>
  <c r="I7" i="3" l="1"/>
  <c r="K7" i="3" s="1"/>
  <c r="H8" i="3" s="1"/>
  <c r="L15" i="3"/>
  <c r="J8" i="3" l="1"/>
  <c r="L16" i="3"/>
  <c r="I8" i="3" l="1"/>
  <c r="K8" i="3" s="1"/>
  <c r="L17" i="3"/>
  <c r="H9" i="3" l="1"/>
  <c r="J9" i="3"/>
  <c r="L18" i="3"/>
  <c r="I9" i="3" l="1"/>
  <c r="L19" i="3"/>
  <c r="K9" i="3" l="1"/>
  <c r="J10" i="3" s="1"/>
  <c r="L20" i="3"/>
  <c r="H10" i="3" l="1"/>
  <c r="I10" i="3" s="1"/>
  <c r="L21" i="3"/>
  <c r="K10" i="3" l="1"/>
  <c r="L22" i="3"/>
  <c r="H11" i="3" l="1"/>
  <c r="J11" i="3"/>
  <c r="L23" i="3"/>
  <c r="I11" i="3" l="1"/>
  <c r="L24" i="3"/>
  <c r="K11" i="3" l="1"/>
  <c r="L25" i="3"/>
  <c r="H12" i="3" l="1"/>
  <c r="J12" i="3"/>
  <c r="L26" i="3"/>
  <c r="I12" i="3" l="1"/>
  <c r="L27" i="3"/>
  <c r="K12" i="3" l="1"/>
  <c r="L28" i="3"/>
  <c r="H13" i="3" l="1"/>
  <c r="J13" i="3"/>
  <c r="L29" i="3"/>
  <c r="I13" i="3" l="1"/>
  <c r="L30" i="3"/>
  <c r="K13" i="3" l="1"/>
  <c r="J14" i="3" s="1"/>
  <c r="L31" i="3"/>
  <c r="H14" i="3" l="1"/>
  <c r="I14" i="3" s="1"/>
  <c r="K14" i="3" s="1"/>
  <c r="L32" i="3"/>
  <c r="J15" i="3" l="1"/>
  <c r="H15" i="3"/>
  <c r="L33" i="3"/>
  <c r="I15" i="3" l="1"/>
  <c r="L34" i="3"/>
  <c r="K15" i="3" l="1"/>
  <c r="L35" i="3"/>
  <c r="H16" i="3" l="1"/>
  <c r="J16" i="3"/>
  <c r="L36" i="3"/>
  <c r="I16" i="3" l="1"/>
  <c r="L37" i="3"/>
  <c r="K16" i="3" l="1"/>
  <c r="L38" i="3"/>
  <c r="H17" i="3" l="1"/>
  <c r="J17" i="3"/>
  <c r="L39" i="3"/>
  <c r="I17" i="3" l="1"/>
  <c r="K17" i="3" s="1"/>
  <c r="L40" i="3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J18" i="3" l="1"/>
  <c r="H18" i="3"/>
  <c r="I18" i="3" l="1"/>
  <c r="K18" i="3" s="1"/>
  <c r="H19" i="3" s="1"/>
  <c r="J19" i="3"/>
  <c r="I19" i="3" l="1"/>
  <c r="K19" i="3" l="1"/>
  <c r="H20" i="3" l="1"/>
  <c r="J20" i="3"/>
  <c r="I20" i="3" l="1"/>
  <c r="K20" i="3" s="1"/>
  <c r="H21" i="3" l="1"/>
  <c r="J21" i="3"/>
  <c r="I21" i="3" l="1"/>
  <c r="K21" i="3" s="1"/>
  <c r="H22" i="3" l="1"/>
  <c r="J22" i="3"/>
  <c r="I22" i="3" l="1"/>
  <c r="K22" i="3" l="1"/>
  <c r="H23" i="3" l="1"/>
  <c r="J23" i="3"/>
  <c r="I23" i="3" l="1"/>
  <c r="K23" i="3" l="1"/>
  <c r="H24" i="3" l="1"/>
  <c r="J24" i="3"/>
  <c r="I24" i="3" l="1"/>
  <c r="K24" i="3" l="1"/>
  <c r="H25" i="3" l="1"/>
  <c r="J25" i="3"/>
  <c r="I25" i="3" l="1"/>
  <c r="K25" i="3" l="1"/>
  <c r="H26" i="3" l="1"/>
  <c r="J26" i="3"/>
  <c r="I26" i="3" l="1"/>
  <c r="K26" i="3" l="1"/>
  <c r="H27" i="3" l="1"/>
  <c r="J27" i="3"/>
  <c r="I27" i="3" l="1"/>
  <c r="K27" i="3" l="1"/>
  <c r="H28" i="3" l="1"/>
  <c r="J28" i="3"/>
  <c r="I28" i="3" l="1"/>
  <c r="K28" i="3" l="1"/>
  <c r="H29" i="3" l="1"/>
  <c r="J29" i="3"/>
  <c r="I29" i="3" l="1"/>
  <c r="K29" i="3" l="1"/>
  <c r="H30" i="3" l="1"/>
  <c r="J30" i="3"/>
  <c r="I30" i="3" l="1"/>
  <c r="K30" i="3" l="1"/>
  <c r="H31" i="3" l="1"/>
  <c r="J31" i="3"/>
  <c r="I31" i="3" l="1"/>
  <c r="K31" i="3" l="1"/>
  <c r="J32" i="3" s="1"/>
  <c r="H32" i="3" l="1"/>
  <c r="I32" i="3" s="1"/>
  <c r="K32" i="3" l="1"/>
  <c r="J33" i="3" s="1"/>
  <c r="H33" i="3" l="1"/>
  <c r="I33" i="3" s="1"/>
  <c r="K33" i="3" l="1"/>
  <c r="J34" i="3" s="1"/>
  <c r="H34" i="3" l="1"/>
  <c r="I34" i="3" s="1"/>
  <c r="K34" i="3" l="1"/>
  <c r="H35" i="3" l="1"/>
  <c r="J35" i="3"/>
  <c r="I35" i="3" l="1"/>
  <c r="K35" i="3" l="1"/>
  <c r="H36" i="3" l="1"/>
  <c r="J36" i="3"/>
  <c r="I36" i="3" l="1"/>
  <c r="K36" i="3" l="1"/>
  <c r="H37" i="3" l="1"/>
  <c r="J37" i="3"/>
  <c r="I37" i="3" l="1"/>
  <c r="K37" i="3" l="1"/>
  <c r="H38" i="3" l="1"/>
  <c r="J38" i="3"/>
  <c r="I38" i="3" l="1"/>
  <c r="K38" i="3" l="1"/>
  <c r="H39" i="3" l="1"/>
  <c r="J39" i="3"/>
  <c r="I39" i="3" l="1"/>
  <c r="K39" i="3" l="1"/>
  <c r="H40" i="3" l="1"/>
  <c r="J40" i="3"/>
  <c r="I40" i="3" l="1"/>
  <c r="K40" i="3" l="1"/>
  <c r="H41" i="3" l="1"/>
  <c r="J41" i="3"/>
  <c r="I41" i="3" l="1"/>
  <c r="K41" i="3" l="1"/>
  <c r="H42" i="3" l="1"/>
  <c r="J42" i="3"/>
  <c r="I42" i="3" l="1"/>
  <c r="K42" i="3" l="1"/>
  <c r="H43" i="3" l="1"/>
  <c r="J43" i="3"/>
  <c r="I43" i="3" l="1"/>
  <c r="K43" i="3" l="1"/>
  <c r="H44" i="3" l="1"/>
  <c r="J44" i="3"/>
  <c r="I44" i="3" l="1"/>
  <c r="K44" i="3" l="1"/>
  <c r="H45" i="3" l="1"/>
  <c r="J45" i="3"/>
  <c r="I45" i="3" l="1"/>
  <c r="K45" i="3" l="1"/>
  <c r="H46" i="3" l="1"/>
  <c r="J46" i="3"/>
  <c r="I46" i="3" l="1"/>
  <c r="K46" i="3" l="1"/>
  <c r="H47" i="3" l="1"/>
  <c r="J47" i="3"/>
  <c r="I47" i="3" l="1"/>
  <c r="K47" i="3" s="1"/>
  <c r="H48" i="3" l="1"/>
  <c r="J48" i="3"/>
  <c r="I48" i="3" l="1"/>
  <c r="K48" i="3" l="1"/>
  <c r="H49" i="3" l="1"/>
  <c r="J49" i="3"/>
  <c r="I49" i="3" l="1"/>
  <c r="K49" i="3" l="1"/>
  <c r="H50" i="3" l="1"/>
  <c r="J50" i="3"/>
  <c r="I50" i="3" l="1"/>
  <c r="K50" i="3" l="1"/>
  <c r="H51" i="3" l="1"/>
  <c r="J51" i="3"/>
  <c r="I51" i="3" l="1"/>
  <c r="K51" i="3" l="1"/>
  <c r="H52" i="3" l="1"/>
  <c r="J52" i="3"/>
  <c r="I52" i="3" l="1"/>
  <c r="K52" i="3" l="1"/>
  <c r="H53" i="3" l="1"/>
  <c r="J53" i="3"/>
  <c r="I53" i="3" l="1"/>
  <c r="K53" i="3" l="1"/>
  <c r="H54" i="3" l="1"/>
  <c r="J54" i="3"/>
  <c r="I54" i="3" l="1"/>
  <c r="K54" i="3" l="1"/>
  <c r="H55" i="3" l="1"/>
  <c r="J55" i="3"/>
  <c r="I55" i="3" l="1"/>
  <c r="K55" i="3" l="1"/>
  <c r="H56" i="3" l="1"/>
  <c r="J56" i="3"/>
  <c r="I56" i="3" l="1"/>
  <c r="K56" i="3" l="1"/>
  <c r="H57" i="3" l="1"/>
  <c r="J57" i="3"/>
  <c r="I57" i="3" l="1"/>
  <c r="K57" i="3" l="1"/>
  <c r="H58" i="3" l="1"/>
  <c r="J58" i="3"/>
  <c r="I58" i="3" l="1"/>
  <c r="K58" i="3" l="1"/>
  <c r="H59" i="3" l="1"/>
  <c r="J59" i="3"/>
  <c r="I59" i="3" l="1"/>
  <c r="K59" i="3" l="1"/>
  <c r="H60" i="3" l="1"/>
  <c r="J60" i="3"/>
  <c r="I60" i="3" l="1"/>
  <c r="K60" i="3" l="1"/>
  <c r="H61" i="3" l="1"/>
  <c r="J61" i="3"/>
  <c r="I61" i="3" l="1"/>
  <c r="K61" i="3" l="1"/>
  <c r="H62" i="3" l="1"/>
  <c r="J62" i="3"/>
  <c r="I62" i="3" l="1"/>
  <c r="K62" i="3" l="1"/>
  <c r="H63" i="3" l="1"/>
  <c r="J63" i="3"/>
  <c r="I63" i="3" l="1"/>
  <c r="K63" i="3" l="1"/>
  <c r="H64" i="3" l="1"/>
  <c r="J64" i="3"/>
  <c r="I64" i="3" l="1"/>
  <c r="K64" i="3" l="1"/>
  <c r="H65" i="3" l="1"/>
  <c r="J65" i="3"/>
  <c r="I65" i="3" l="1"/>
  <c r="K65" i="3" l="1"/>
  <c r="H66" i="3" l="1"/>
  <c r="J66" i="3"/>
  <c r="I66" i="3" l="1"/>
  <c r="K66" i="3" l="1"/>
  <c r="H67" i="3" l="1"/>
  <c r="J67" i="3"/>
  <c r="I67" i="3" l="1"/>
  <c r="K67" i="3" l="1"/>
  <c r="H68" i="3" l="1"/>
  <c r="J68" i="3"/>
  <c r="I68" i="3" l="1"/>
  <c r="K68" i="3" l="1"/>
  <c r="H69" i="3" l="1"/>
  <c r="J69" i="3"/>
  <c r="I69" i="3" l="1"/>
  <c r="K69" i="3" l="1"/>
  <c r="H70" i="3" l="1"/>
  <c r="J70" i="3"/>
  <c r="I70" i="3" l="1"/>
  <c r="K70" i="3" l="1"/>
  <c r="H71" i="3" l="1"/>
  <c r="J71" i="3"/>
  <c r="I71" i="3" l="1"/>
  <c r="K71" i="3" l="1"/>
  <c r="H72" i="3" l="1"/>
  <c r="J72" i="3"/>
  <c r="I72" i="3" l="1"/>
  <c r="K72" i="3" l="1"/>
  <c r="H73" i="3" l="1"/>
  <c r="J73" i="3"/>
  <c r="I73" i="3" l="1"/>
  <c r="K73" i="3" l="1"/>
  <c r="H74" i="3" l="1"/>
  <c r="J74" i="3"/>
  <c r="I74" i="3" l="1"/>
  <c r="K74" i="3" l="1"/>
  <c r="H75" i="3" l="1"/>
  <c r="J75" i="3"/>
  <c r="I75" i="3" l="1"/>
  <c r="K75" i="3" l="1"/>
  <c r="H76" i="3" l="1"/>
  <c r="J76" i="3"/>
  <c r="I76" i="3" l="1"/>
  <c r="K76" i="3" l="1"/>
  <c r="H77" i="3" l="1"/>
  <c r="J77" i="3"/>
  <c r="I77" i="3" l="1"/>
  <c r="K77" i="3" l="1"/>
  <c r="H78" i="3" l="1"/>
  <c r="J78" i="3"/>
  <c r="I78" i="3" l="1"/>
  <c r="K78" i="3" l="1"/>
  <c r="H79" i="3" l="1"/>
  <c r="J79" i="3"/>
  <c r="I79" i="3" l="1"/>
  <c r="K79" i="3" l="1"/>
  <c r="H80" i="3" l="1"/>
  <c r="J80" i="3"/>
  <c r="I80" i="3" l="1"/>
  <c r="K80" i="3" l="1"/>
  <c r="H81" i="3" l="1"/>
  <c r="J81" i="3"/>
  <c r="I81" i="3" l="1"/>
  <c r="K81" i="3" l="1"/>
  <c r="H82" i="3" l="1"/>
  <c r="J82" i="3"/>
  <c r="I82" i="3" l="1"/>
  <c r="K82" i="3" l="1"/>
  <c r="H83" i="3" l="1"/>
  <c r="J83" i="3"/>
  <c r="I83" i="3" l="1"/>
  <c r="K83" i="3" l="1"/>
  <c r="H84" i="3" l="1"/>
  <c r="J84" i="3"/>
  <c r="I84" i="3" l="1"/>
  <c r="K84" i="3" l="1"/>
  <c r="H85" i="3" l="1"/>
  <c r="J85" i="3"/>
  <c r="I85" i="3" l="1"/>
  <c r="K85" i="3" l="1"/>
  <c r="H86" i="3" l="1"/>
  <c r="J86" i="3"/>
  <c r="I86" i="3" l="1"/>
  <c r="K86" i="3" l="1"/>
  <c r="H87" i="3" l="1"/>
  <c r="J87" i="3"/>
  <c r="I87" i="3" l="1"/>
  <c r="K87" i="3" s="1"/>
  <c r="H88" i="3" l="1"/>
  <c r="J88" i="3"/>
  <c r="I88" i="3" l="1"/>
  <c r="K88" i="3" s="1"/>
  <c r="J89" i="3" s="1"/>
  <c r="H89" i="3"/>
  <c r="I89" i="3" l="1"/>
  <c r="K89" i="3" s="1"/>
  <c r="H90" i="3"/>
  <c r="J90" i="3"/>
  <c r="I90" i="3" l="1"/>
  <c r="K90" i="3" s="1"/>
  <c r="J91" i="3"/>
  <c r="H91" i="3"/>
  <c r="I91" i="3" l="1"/>
  <c r="K91" i="3" s="1"/>
  <c r="H92" i="3" l="1"/>
  <c r="J92" i="3"/>
  <c r="I92" i="3" l="1"/>
  <c r="K92" i="3" s="1"/>
  <c r="J93" i="3"/>
  <c r="H93" i="3"/>
  <c r="I93" i="3" l="1"/>
  <c r="K93" i="3" s="1"/>
  <c r="J94" i="3" l="1"/>
  <c r="H94" i="3"/>
  <c r="I94" i="3" l="1"/>
  <c r="K94" i="3" s="1"/>
  <c r="J95" i="3" l="1"/>
  <c r="H95" i="3"/>
  <c r="I95" i="3" l="1"/>
  <c r="K95" i="3" s="1"/>
  <c r="H96" i="3" l="1"/>
  <c r="J96" i="3"/>
  <c r="I96" i="3" l="1"/>
  <c r="K96" i="3" s="1"/>
  <c r="J97" i="3" s="1"/>
  <c r="H97" i="3" l="1"/>
  <c r="I97" i="3" s="1"/>
  <c r="K97" i="3" s="1"/>
  <c r="H98" i="3" l="1"/>
  <c r="J98" i="3"/>
  <c r="I98" i="3" l="1"/>
  <c r="K98" i="3" s="1"/>
</calcChain>
</file>

<file path=xl/sharedStrings.xml><?xml version="1.0" encoding="utf-8"?>
<sst xmlns="http://schemas.openxmlformats.org/spreadsheetml/2006/main" count="16" uniqueCount="15">
  <si>
    <t>DATA DE ASSINATURA DO CONTRATO</t>
  </si>
  <si>
    <t>VALOR FINANCIADO</t>
  </si>
  <si>
    <t>ENTRADA</t>
  </si>
  <si>
    <t>JUROS</t>
  </si>
  <si>
    <t>AMORTIZAÇÃO</t>
  </si>
  <si>
    <t>PARCELA</t>
  </si>
  <si>
    <t>SALDO</t>
  </si>
  <si>
    <t>VENCIMENTO</t>
  </si>
  <si>
    <t>VALOR DO IMÓVEL</t>
  </si>
  <si>
    <t>TAXA DE JUROS MENSAIS</t>
  </si>
  <si>
    <t>TAXA DE JUROS ANUAIS</t>
  </si>
  <si>
    <t>OU</t>
  </si>
  <si>
    <t>TABELA PRICE + CORREÇÃO</t>
  </si>
  <si>
    <t>VENCIMENTO DA 1º PARCELA</t>
  </si>
  <si>
    <t>QUANTIDADE DE 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</si>
</sst>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0.000000"/>
    <numFmt numFmtId="167" formatCode="0.000000%"/>
    <numFmt numFmtId="168" formatCode="_-&quot;R$&quot;\ * #,##0.00_-;\-&quot;R$&quot;\ * #,##0.00_-;_-&quot;R$&quot;\ * &quot;-&quot;??????_-;_-@_-"/>
    <numFmt numFmtId="169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8" fontId="3" fillId="2" borderId="0" xfId="0" applyNumberFormat="1" applyFont="1" applyFill="1" applyAlignment="1">
      <alignment horizontal="center" vertical="center"/>
    </xf>
    <xf numFmtId="44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168" fontId="3" fillId="2" borderId="0" xfId="0" applyNumberFormat="1" applyFont="1" applyFill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165" fontId="3" fillId="2" borderId="0" xfId="1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7" fontId="3" fillId="2" borderId="0" xfId="1" applyNumberFormat="1" applyFont="1" applyFill="1" applyAlignment="1">
      <alignment horizontal="center" vertical="center"/>
    </xf>
    <xf numFmtId="169" fontId="3" fillId="2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C1E9-01E8-4460-93D9-8E7CF494D49E}">
  <dimension ref="C1:O98"/>
  <sheetViews>
    <sheetView tabSelected="1" topLeftCell="C1" workbookViewId="0">
      <selection activeCell="K14" sqref="K14"/>
    </sheetView>
  </sheetViews>
  <sheetFormatPr defaultColWidth="9.140625" defaultRowHeight="15" x14ac:dyDescent="0.25"/>
  <cols>
    <col min="1" max="2" width="9.140625" style="4"/>
    <col min="3" max="3" width="36" style="4" customWidth="1"/>
    <col min="4" max="4" width="14.28515625" style="4" bestFit="1" customWidth="1"/>
    <col min="5" max="5" width="12.5703125" style="5" customWidth="1"/>
    <col min="6" max="6" width="11" style="5" customWidth="1"/>
    <col min="7" max="7" width="9.140625" style="4"/>
    <col min="8" max="8" width="17.42578125" style="4" bestFit="1" customWidth="1"/>
    <col min="9" max="9" width="17.7109375" style="4" customWidth="1"/>
    <col min="10" max="10" width="16" style="4" customWidth="1"/>
    <col min="11" max="11" width="15.5703125" style="4" customWidth="1"/>
    <col min="12" max="12" width="16" style="4" customWidth="1"/>
    <col min="13" max="14" width="28" style="8" customWidth="1"/>
    <col min="15" max="15" width="38.7109375" style="4" customWidth="1"/>
    <col min="16" max="16384" width="9.140625" style="4"/>
  </cols>
  <sheetData>
    <row r="1" spans="3:15" s="1" customFormat="1" x14ac:dyDescent="0.25">
      <c r="D1" s="2"/>
      <c r="E1" s="3"/>
      <c r="F1" s="3"/>
      <c r="G1" s="1" t="s">
        <v>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3:15" x14ac:dyDescent="0.25">
      <c r="J2" s="6"/>
      <c r="K2" s="7">
        <f>D12</f>
        <v>209148.51</v>
      </c>
      <c r="N2" s="17"/>
    </row>
    <row r="3" spans="3:15" x14ac:dyDescent="0.25">
      <c r="D3" s="9"/>
      <c r="E3" s="10"/>
      <c r="F3" s="10"/>
      <c r="G3" s="4">
        <v>1</v>
      </c>
      <c r="H3" s="11">
        <f>$D$13*K2</f>
        <v>2296.2105268893715</v>
      </c>
      <c r="I3" s="6">
        <f t="shared" ref="I3:I34" si="0">J3-H3</f>
        <v>1239.46202969962</v>
      </c>
      <c r="J3" s="6">
        <f>PMT($D$13,($D$16-G2),-$K$2,,0)</f>
        <v>3535.6725565889915</v>
      </c>
      <c r="K3" s="7">
        <f>K2-I3</f>
        <v>207909.04797030039</v>
      </c>
      <c r="L3" s="9">
        <f>D18</f>
        <v>45863</v>
      </c>
      <c r="M3" s="12"/>
      <c r="N3" s="16"/>
      <c r="O3" s="6"/>
    </row>
    <row r="4" spans="3:15" x14ac:dyDescent="0.25">
      <c r="D4" s="9"/>
      <c r="F4" s="10"/>
      <c r="G4" s="4">
        <v>2</v>
      </c>
      <c r="H4" s="11">
        <f t="shared" ref="H4:H67" si="1">$D$13*K3</f>
        <v>2282.602656767438</v>
      </c>
      <c r="I4" s="6">
        <f t="shared" si="0"/>
        <v>1253.0698998215535</v>
      </c>
      <c r="J4" s="6">
        <f t="shared" ref="J4:J67" si="2">PMT($D$13,($D$16-G3),-K3,,0)</f>
        <v>3535.6725565889915</v>
      </c>
      <c r="K4" s="7">
        <f t="shared" ref="K4:K67" si="3">K3-I4</f>
        <v>206655.97807047883</v>
      </c>
      <c r="L4" s="9">
        <f>EDATE(L3,1)</f>
        <v>45894</v>
      </c>
      <c r="M4" s="12"/>
      <c r="N4" s="16"/>
      <c r="O4" s="6"/>
    </row>
    <row r="5" spans="3:15" x14ac:dyDescent="0.25">
      <c r="D5" s="13"/>
      <c r="E5" s="10"/>
      <c r="F5" s="10"/>
      <c r="G5" s="4">
        <v>3</v>
      </c>
      <c r="H5" s="11">
        <f t="shared" si="1"/>
        <v>2268.8453878540786</v>
      </c>
      <c r="I5" s="6">
        <f t="shared" si="0"/>
        <v>1266.8271687349129</v>
      </c>
      <c r="J5" s="6">
        <f t="shared" si="2"/>
        <v>3535.6725565889915</v>
      </c>
      <c r="K5" s="7">
        <f t="shared" si="3"/>
        <v>205389.15090174391</v>
      </c>
      <c r="L5" s="9">
        <f t="shared" ref="L5:L68" si="4">EDATE(L4,1)</f>
        <v>45925</v>
      </c>
      <c r="M5" s="12"/>
      <c r="N5" s="16"/>
      <c r="O5" s="6"/>
    </row>
    <row r="6" spans="3:15" x14ac:dyDescent="0.25">
      <c r="D6" s="7"/>
      <c r="F6" s="10"/>
      <c r="G6" s="4">
        <v>4</v>
      </c>
      <c r="H6" s="11">
        <f t="shared" si="1"/>
        <v>2254.9370799220806</v>
      </c>
      <c r="I6" s="6">
        <f t="shared" si="0"/>
        <v>1280.7354766669109</v>
      </c>
      <c r="J6" s="6">
        <f t="shared" si="2"/>
        <v>3535.6725565889915</v>
      </c>
      <c r="K6" s="7">
        <f t="shared" si="3"/>
        <v>204108.41542507699</v>
      </c>
      <c r="L6" s="9">
        <f t="shared" si="4"/>
        <v>45955</v>
      </c>
      <c r="M6" s="12"/>
      <c r="N6" s="16"/>
      <c r="O6" s="6"/>
    </row>
    <row r="7" spans="3:15" x14ac:dyDescent="0.25">
      <c r="D7" s="9"/>
      <c r="F7" s="10"/>
      <c r="G7" s="4">
        <v>5</v>
      </c>
      <c r="H7" s="11">
        <f t="shared" si="1"/>
        <v>2240.8760747364195</v>
      </c>
      <c r="I7" s="6">
        <f t="shared" si="0"/>
        <v>1294.796481852572</v>
      </c>
      <c r="J7" s="6">
        <f t="shared" si="2"/>
        <v>3535.6725565889915</v>
      </c>
      <c r="K7" s="7">
        <f t="shared" si="3"/>
        <v>202813.61894322443</v>
      </c>
      <c r="L7" s="9">
        <f t="shared" si="4"/>
        <v>45986</v>
      </c>
      <c r="M7" s="12"/>
      <c r="N7" s="16"/>
      <c r="O7" s="6"/>
    </row>
    <row r="8" spans="3:15" x14ac:dyDescent="0.25">
      <c r="F8" s="10"/>
      <c r="G8" s="4">
        <v>6</v>
      </c>
      <c r="H8" s="11">
        <f t="shared" si="1"/>
        <v>2226.6606958565549</v>
      </c>
      <c r="I8" s="6">
        <f t="shared" si="0"/>
        <v>1309.0118607324366</v>
      </c>
      <c r="J8" s="6">
        <f t="shared" si="2"/>
        <v>3535.6725565889915</v>
      </c>
      <c r="K8" s="7">
        <f t="shared" si="3"/>
        <v>201504.607082492</v>
      </c>
      <c r="L8" s="9">
        <f t="shared" si="4"/>
        <v>46016</v>
      </c>
      <c r="M8" s="12"/>
      <c r="N8" s="16"/>
      <c r="O8" s="6"/>
    </row>
    <row r="9" spans="3:15" x14ac:dyDescent="0.25">
      <c r="C9" s="18" t="s">
        <v>12</v>
      </c>
      <c r="D9" s="18"/>
      <c r="F9" s="10"/>
      <c r="G9" s="4">
        <v>7</v>
      </c>
      <c r="H9" s="11">
        <f t="shared" si="1"/>
        <v>2212.2892484365525</v>
      </c>
      <c r="I9" s="6">
        <f t="shared" si="0"/>
        <v>1323.383308152439</v>
      </c>
      <c r="J9" s="6">
        <f t="shared" si="2"/>
        <v>3535.6725565889915</v>
      </c>
      <c r="K9" s="7">
        <f t="shared" si="3"/>
        <v>200181.22377433957</v>
      </c>
      <c r="L9" s="9">
        <f t="shared" si="4"/>
        <v>46047</v>
      </c>
      <c r="M9" s="12"/>
      <c r="N9" s="16"/>
      <c r="O9" s="6"/>
    </row>
    <row r="10" spans="3:15" x14ac:dyDescent="0.25">
      <c r="C10" s="4" t="s">
        <v>8</v>
      </c>
      <c r="D10" s="7">
        <v>209148.51</v>
      </c>
      <c r="F10" s="10"/>
      <c r="G10" s="4">
        <v>8</v>
      </c>
      <c r="H10" s="11">
        <f t="shared" si="1"/>
        <v>2197.760019023016</v>
      </c>
      <c r="I10" s="6">
        <f t="shared" si="0"/>
        <v>1337.912537565976</v>
      </c>
      <c r="J10" s="6">
        <f t="shared" si="2"/>
        <v>3535.6725565889919</v>
      </c>
      <c r="K10" s="7">
        <f t="shared" si="3"/>
        <v>198843.31123677359</v>
      </c>
      <c r="L10" s="9">
        <f t="shared" si="4"/>
        <v>46078</v>
      </c>
      <c r="M10" s="12"/>
      <c r="N10" s="16"/>
      <c r="O10" s="6"/>
    </row>
    <row r="11" spans="3:15" x14ac:dyDescent="0.25">
      <c r="C11" s="4" t="s">
        <v>2</v>
      </c>
      <c r="D11" s="7">
        <v>0</v>
      </c>
      <c r="E11" s="10"/>
      <c r="F11" s="10"/>
      <c r="G11" s="4">
        <v>9</v>
      </c>
      <c r="H11" s="11">
        <f t="shared" si="1"/>
        <v>2183.0712753507983</v>
      </c>
      <c r="I11" s="6">
        <f t="shared" si="0"/>
        <v>1352.6012812381923</v>
      </c>
      <c r="J11" s="6">
        <f t="shared" si="2"/>
        <v>3535.6725565889906</v>
      </c>
      <c r="K11" s="7">
        <f t="shared" si="3"/>
        <v>197490.70995553539</v>
      </c>
      <c r="L11" s="9">
        <f t="shared" si="4"/>
        <v>46106</v>
      </c>
      <c r="M11" s="12"/>
      <c r="N11" s="16"/>
      <c r="O11" s="6"/>
    </row>
    <row r="12" spans="3:15" x14ac:dyDescent="0.25">
      <c r="C12" s="4" t="s">
        <v>1</v>
      </c>
      <c r="D12" s="7">
        <f>D10-D11</f>
        <v>209148.51</v>
      </c>
      <c r="F12" s="10"/>
      <c r="G12" s="4">
        <v>10</v>
      </c>
      <c r="H12" s="11">
        <f t="shared" si="1"/>
        <v>2168.2212661364692</v>
      </c>
      <c r="I12" s="6">
        <f t="shared" si="0"/>
        <v>1367.4512904525222</v>
      </c>
      <c r="J12" s="6">
        <f t="shared" si="2"/>
        <v>3535.6725565889915</v>
      </c>
      <c r="K12" s="7">
        <f t="shared" si="3"/>
        <v>196123.25866508286</v>
      </c>
      <c r="L12" s="9">
        <f t="shared" si="4"/>
        <v>46137</v>
      </c>
      <c r="M12" s="12"/>
      <c r="N12" s="16"/>
      <c r="O12" s="6"/>
    </row>
    <row r="13" spans="3:15" x14ac:dyDescent="0.25">
      <c r="C13" s="4" t="s">
        <v>9</v>
      </c>
      <c r="D13" s="12">
        <f>(1+D15)^(1/12)-1</f>
        <v>1.0978851950173452E-2</v>
      </c>
      <c r="E13" s="10"/>
      <c r="F13" s="10"/>
      <c r="G13" s="4">
        <v>11</v>
      </c>
      <c r="H13" s="11">
        <f t="shared" si="1"/>
        <v>2153.2082208695174</v>
      </c>
      <c r="I13" s="6">
        <f t="shared" si="0"/>
        <v>1382.4643357194741</v>
      </c>
      <c r="J13" s="6">
        <f t="shared" si="2"/>
        <v>3535.6725565889915</v>
      </c>
      <c r="K13" s="7">
        <f t="shared" si="3"/>
        <v>194740.79432936339</v>
      </c>
      <c r="L13" s="9">
        <f t="shared" si="4"/>
        <v>46167</v>
      </c>
      <c r="M13" s="12"/>
      <c r="N13" s="16"/>
      <c r="O13" s="6"/>
    </row>
    <row r="14" spans="3:15" x14ac:dyDescent="0.25">
      <c r="C14" s="4" t="s">
        <v>11</v>
      </c>
      <c r="F14" s="10"/>
      <c r="G14" s="4">
        <v>12</v>
      </c>
      <c r="H14" s="11">
        <f t="shared" si="1"/>
        <v>2138.0303496012584</v>
      </c>
      <c r="I14" s="6">
        <f t="shared" si="0"/>
        <v>1397.6422069877331</v>
      </c>
      <c r="J14" s="6">
        <f t="shared" si="2"/>
        <v>3535.6725565889915</v>
      </c>
      <c r="K14" s="7">
        <f t="shared" si="3"/>
        <v>193343.15212237564</v>
      </c>
      <c r="L14" s="9">
        <f t="shared" si="4"/>
        <v>46198</v>
      </c>
      <c r="M14" s="12"/>
      <c r="N14" s="16"/>
      <c r="O14" s="6"/>
    </row>
    <row r="15" spans="3:15" x14ac:dyDescent="0.25">
      <c r="C15" s="4" t="s">
        <v>10</v>
      </c>
      <c r="D15" s="14">
        <v>0.14000000000000001</v>
      </c>
      <c r="F15" s="10"/>
      <c r="G15" s="4">
        <f>G14+1</f>
        <v>13</v>
      </c>
      <c r="H15" s="11">
        <f t="shared" si="1"/>
        <v>2122.685842731426</v>
      </c>
      <c r="I15" s="6">
        <f t="shared" si="0"/>
        <v>1412.9867138575655</v>
      </c>
      <c r="J15" s="6">
        <f t="shared" si="2"/>
        <v>3535.6725565889915</v>
      </c>
      <c r="K15" s="7">
        <f t="shared" si="3"/>
        <v>191930.16540851808</v>
      </c>
      <c r="L15" s="9">
        <f t="shared" si="4"/>
        <v>46228</v>
      </c>
      <c r="M15" s="12"/>
      <c r="N15" s="16"/>
      <c r="O15" s="6"/>
    </row>
    <row r="16" spans="3:15" x14ac:dyDescent="0.25">
      <c r="C16" s="4" t="s">
        <v>14</v>
      </c>
      <c r="D16" s="4">
        <v>96</v>
      </c>
      <c r="F16" s="10"/>
      <c r="G16" s="4">
        <f t="shared" ref="G16:G79" si="5">G15+1</f>
        <v>14</v>
      </c>
      <c r="H16" s="11">
        <f t="shared" si="1"/>
        <v>2107.1728707924217</v>
      </c>
      <c r="I16" s="6">
        <f t="shared" si="0"/>
        <v>1428.4996857965689</v>
      </c>
      <c r="J16" s="6">
        <f t="shared" si="2"/>
        <v>3535.6725565889906</v>
      </c>
      <c r="K16" s="7">
        <f t="shared" si="3"/>
        <v>190501.66572272152</v>
      </c>
      <c r="L16" s="9">
        <f t="shared" si="4"/>
        <v>46259</v>
      </c>
      <c r="M16" s="12"/>
      <c r="N16" s="16"/>
      <c r="O16" s="6"/>
    </row>
    <row r="17" spans="3:15" x14ac:dyDescent="0.25">
      <c r="C17" s="4" t="s">
        <v>0</v>
      </c>
      <c r="D17" s="9">
        <v>45841</v>
      </c>
      <c r="E17" s="10"/>
      <c r="F17" s="10"/>
      <c r="G17" s="4">
        <f t="shared" si="5"/>
        <v>15</v>
      </c>
      <c r="H17" s="11">
        <f t="shared" si="1"/>
        <v>2091.4895842311921</v>
      </c>
      <c r="I17" s="6">
        <f t="shared" si="0"/>
        <v>1444.1829723577994</v>
      </c>
      <c r="J17" s="6">
        <f t="shared" si="2"/>
        <v>3535.6725565889915</v>
      </c>
      <c r="K17" s="7">
        <f t="shared" si="3"/>
        <v>189057.48275036371</v>
      </c>
      <c r="L17" s="9">
        <f t="shared" si="4"/>
        <v>46290</v>
      </c>
      <c r="M17" s="12"/>
      <c r="N17" s="16"/>
      <c r="O17" s="6"/>
    </row>
    <row r="18" spans="3:15" x14ac:dyDescent="0.25">
      <c r="C18" s="4" t="s">
        <v>13</v>
      </c>
      <c r="D18" s="9">
        <v>45863</v>
      </c>
      <c r="E18" s="10"/>
      <c r="F18" s="10"/>
      <c r="G18" s="4">
        <f t="shared" si="5"/>
        <v>16</v>
      </c>
      <c r="H18" s="11">
        <f t="shared" si="1"/>
        <v>2075.6341131887143</v>
      </c>
      <c r="I18" s="6">
        <f t="shared" si="0"/>
        <v>1460.0384434002763</v>
      </c>
      <c r="J18" s="6">
        <f t="shared" si="2"/>
        <v>3535.6725565889906</v>
      </c>
      <c r="K18" s="7">
        <f t="shared" si="3"/>
        <v>187597.44430696344</v>
      </c>
      <c r="L18" s="9">
        <f t="shared" si="4"/>
        <v>46320</v>
      </c>
      <c r="M18" s="12"/>
      <c r="N18" s="16"/>
      <c r="O18" s="6"/>
    </row>
    <row r="19" spans="3:15" x14ac:dyDescent="0.25">
      <c r="D19" s="12"/>
      <c r="F19" s="10"/>
      <c r="G19" s="4">
        <f t="shared" si="5"/>
        <v>17</v>
      </c>
      <c r="H19" s="11">
        <f t="shared" si="1"/>
        <v>2059.6045672770611</v>
      </c>
      <c r="I19" s="6">
        <f t="shared" si="0"/>
        <v>1476.0679893119309</v>
      </c>
      <c r="J19" s="6">
        <f t="shared" si="2"/>
        <v>3535.6725565889919</v>
      </c>
      <c r="K19" s="7">
        <f t="shared" si="3"/>
        <v>186121.37631765151</v>
      </c>
      <c r="L19" s="9">
        <f t="shared" si="4"/>
        <v>46351</v>
      </c>
      <c r="M19" s="12"/>
      <c r="N19" s="16"/>
      <c r="O19" s="6"/>
    </row>
    <row r="20" spans="3:15" x14ac:dyDescent="0.25">
      <c r="F20" s="10"/>
      <c r="G20" s="4">
        <f t="shared" si="5"/>
        <v>18</v>
      </c>
      <c r="H20" s="11">
        <f t="shared" si="1"/>
        <v>2043.399035354015</v>
      </c>
      <c r="I20" s="6">
        <f t="shared" si="0"/>
        <v>1492.2735212349764</v>
      </c>
      <c r="J20" s="6">
        <f t="shared" si="2"/>
        <v>3535.6725565889915</v>
      </c>
      <c r="K20" s="7">
        <f t="shared" si="3"/>
        <v>184629.10279641653</v>
      </c>
      <c r="L20" s="9">
        <f t="shared" si="4"/>
        <v>46381</v>
      </c>
      <c r="M20" s="12"/>
      <c r="N20" s="16"/>
      <c r="O20" s="6"/>
    </row>
    <row r="21" spans="3:15" x14ac:dyDescent="0.25">
      <c r="F21" s="10"/>
      <c r="G21" s="4">
        <f t="shared" si="5"/>
        <v>19</v>
      </c>
      <c r="H21" s="11">
        <f t="shared" si="1"/>
        <v>2027.0155852952123</v>
      </c>
      <c r="I21" s="6">
        <f t="shared" si="0"/>
        <v>1508.6569712937792</v>
      </c>
      <c r="J21" s="6">
        <f t="shared" si="2"/>
        <v>3535.6725565889915</v>
      </c>
      <c r="K21" s="7">
        <f t="shared" si="3"/>
        <v>183120.44582512273</v>
      </c>
      <c r="L21" s="9">
        <f t="shared" si="4"/>
        <v>46412</v>
      </c>
      <c r="M21" s="12"/>
      <c r="N21" s="16"/>
      <c r="O21" s="6"/>
    </row>
    <row r="22" spans="3:15" x14ac:dyDescent="0.25">
      <c r="F22" s="10"/>
      <c r="G22" s="4">
        <f t="shared" si="5"/>
        <v>20</v>
      </c>
      <c r="H22" s="11">
        <f t="shared" si="1"/>
        <v>2010.4522637637806</v>
      </c>
      <c r="I22" s="6">
        <f t="shared" si="0"/>
        <v>1525.2202928252095</v>
      </c>
      <c r="J22" s="6">
        <f t="shared" si="2"/>
        <v>3535.6725565889901</v>
      </c>
      <c r="K22" s="7">
        <f t="shared" si="3"/>
        <v>181595.22553229751</v>
      </c>
      <c r="L22" s="9">
        <f t="shared" si="4"/>
        <v>46443</v>
      </c>
      <c r="M22" s="12"/>
      <c r="N22" s="16"/>
      <c r="O22" s="6"/>
    </row>
    <row r="23" spans="3:15" x14ac:dyDescent="0.25">
      <c r="D23" s="15"/>
      <c r="F23" s="10"/>
      <c r="G23" s="4">
        <f t="shared" si="5"/>
        <v>21</v>
      </c>
      <c r="H23" s="11">
        <f t="shared" si="1"/>
        <v>1993.7070959774524</v>
      </c>
      <c r="I23" s="6">
        <f t="shared" si="0"/>
        <v>1541.9654606115382</v>
      </c>
      <c r="J23" s="6">
        <f t="shared" si="2"/>
        <v>3535.6725565889906</v>
      </c>
      <c r="K23" s="7">
        <f t="shared" si="3"/>
        <v>180053.26007168597</v>
      </c>
      <c r="L23" s="9">
        <f t="shared" si="4"/>
        <v>46471</v>
      </c>
      <c r="M23" s="12"/>
      <c r="N23" s="16"/>
      <c r="O23" s="6"/>
    </row>
    <row r="24" spans="3:15" x14ac:dyDescent="0.25">
      <c r="F24" s="10"/>
      <c r="G24" s="4">
        <f t="shared" si="5"/>
        <v>22</v>
      </c>
      <c r="H24" s="11">
        <f t="shared" si="1"/>
        <v>1976.7780854731172</v>
      </c>
      <c r="I24" s="6">
        <f t="shared" si="0"/>
        <v>1558.8944711158742</v>
      </c>
      <c r="J24" s="6">
        <f t="shared" si="2"/>
        <v>3535.6725565889915</v>
      </c>
      <c r="K24" s="7">
        <f t="shared" si="3"/>
        <v>178494.36560057011</v>
      </c>
      <c r="L24" s="9">
        <f t="shared" si="4"/>
        <v>46502</v>
      </c>
      <c r="M24" s="12"/>
      <c r="N24" s="16"/>
      <c r="O24" s="6"/>
    </row>
    <row r="25" spans="3:15" x14ac:dyDescent="0.25">
      <c r="D25" s="7"/>
      <c r="F25" s="10"/>
      <c r="G25" s="4">
        <f t="shared" si="5"/>
        <v>23</v>
      </c>
      <c r="H25" s="11">
        <f t="shared" si="1"/>
        <v>1959.6632138687921</v>
      </c>
      <c r="I25" s="6">
        <f t="shared" si="0"/>
        <v>1576.0093427201984</v>
      </c>
      <c r="J25" s="6">
        <f t="shared" si="2"/>
        <v>3535.6725565889906</v>
      </c>
      <c r="K25" s="7">
        <f t="shared" si="3"/>
        <v>176918.3562578499</v>
      </c>
      <c r="L25" s="9">
        <f t="shared" si="4"/>
        <v>46532</v>
      </c>
      <c r="M25" s="12"/>
      <c r="N25" s="16"/>
      <c r="O25" s="6"/>
    </row>
    <row r="26" spans="3:15" x14ac:dyDescent="0.25">
      <c r="D26" s="6"/>
      <c r="F26" s="10"/>
      <c r="G26" s="4">
        <f t="shared" si="5"/>
        <v>24</v>
      </c>
      <c r="H26" s="11">
        <f t="shared" si="1"/>
        <v>1942.3604406229767</v>
      </c>
      <c r="I26" s="6">
        <f t="shared" si="0"/>
        <v>1593.3121159660134</v>
      </c>
      <c r="J26" s="6">
        <f t="shared" si="2"/>
        <v>3535.6725565889901</v>
      </c>
      <c r="K26" s="7">
        <f t="shared" si="3"/>
        <v>175325.04414188387</v>
      </c>
      <c r="L26" s="9">
        <f t="shared" si="4"/>
        <v>46563</v>
      </c>
      <c r="M26" s="12"/>
      <c r="N26" s="16"/>
      <c r="O26" s="6"/>
    </row>
    <row r="27" spans="3:15" x14ac:dyDescent="0.25">
      <c r="D27" s="9"/>
      <c r="F27" s="10"/>
      <c r="G27" s="4">
        <f t="shared" si="5"/>
        <v>25</v>
      </c>
      <c r="H27" s="11">
        <f t="shared" si="1"/>
        <v>1924.8677027913682</v>
      </c>
      <c r="I27" s="6">
        <f t="shared" si="0"/>
        <v>1610.8048537976224</v>
      </c>
      <c r="J27" s="6">
        <f t="shared" si="2"/>
        <v>3535.6725565889906</v>
      </c>
      <c r="K27" s="7">
        <f t="shared" si="3"/>
        <v>173714.23928808625</v>
      </c>
      <c r="L27" s="9">
        <f t="shared" si="4"/>
        <v>46593</v>
      </c>
      <c r="M27" s="12"/>
      <c r="N27" s="16"/>
      <c r="O27" s="6"/>
    </row>
    <row r="28" spans="3:15" x14ac:dyDescent="0.25">
      <c r="D28" s="9"/>
      <c r="F28" s="10"/>
      <c r="G28" s="4">
        <f t="shared" si="5"/>
        <v>26</v>
      </c>
      <c r="H28" s="11">
        <f t="shared" si="1"/>
        <v>1907.1829147809033</v>
      </c>
      <c r="I28" s="6">
        <f t="shared" si="0"/>
        <v>1628.4896418080882</v>
      </c>
      <c r="J28" s="6">
        <f t="shared" si="2"/>
        <v>3535.6725565889915</v>
      </c>
      <c r="K28" s="7">
        <f t="shared" si="3"/>
        <v>172085.74964627816</v>
      </c>
      <c r="L28" s="9">
        <f t="shared" si="4"/>
        <v>46624</v>
      </c>
      <c r="M28" s="12"/>
      <c r="N28" s="16"/>
      <c r="O28" s="6"/>
    </row>
    <row r="29" spans="3:15" x14ac:dyDescent="0.25">
      <c r="D29" s="12"/>
      <c r="F29" s="10"/>
      <c r="G29" s="4">
        <f t="shared" si="5"/>
        <v>27</v>
      </c>
      <c r="H29" s="11">
        <f t="shared" si="1"/>
        <v>1889.3039681011012</v>
      </c>
      <c r="I29" s="6">
        <f t="shared" si="0"/>
        <v>1646.3685884878903</v>
      </c>
      <c r="J29" s="6">
        <f t="shared" si="2"/>
        <v>3535.6725565889915</v>
      </c>
      <c r="K29" s="7">
        <f t="shared" si="3"/>
        <v>170439.38105779028</v>
      </c>
      <c r="L29" s="9">
        <f t="shared" si="4"/>
        <v>46655</v>
      </c>
      <c r="M29" s="12"/>
      <c r="N29" s="16"/>
      <c r="O29" s="6"/>
    </row>
    <row r="30" spans="3:15" x14ac:dyDescent="0.25">
      <c r="F30" s="10"/>
      <c r="G30" s="4">
        <f t="shared" si="5"/>
        <v>28</v>
      </c>
      <c r="H30" s="11">
        <f t="shared" si="1"/>
        <v>1871.2287311126768</v>
      </c>
      <c r="I30" s="6">
        <f t="shared" si="0"/>
        <v>1664.4438254763138</v>
      </c>
      <c r="J30" s="6">
        <f t="shared" si="2"/>
        <v>3535.6725565889906</v>
      </c>
      <c r="K30" s="7">
        <f t="shared" si="3"/>
        <v>168774.93723231397</v>
      </c>
      <c r="L30" s="9">
        <f t="shared" si="4"/>
        <v>46685</v>
      </c>
      <c r="M30" s="12"/>
      <c r="N30" s="16"/>
      <c r="O30" s="6"/>
    </row>
    <row r="31" spans="3:15" x14ac:dyDescent="0.25">
      <c r="F31" s="10"/>
      <c r="G31" s="4">
        <f t="shared" si="5"/>
        <v>29</v>
      </c>
      <c r="H31" s="11">
        <f t="shared" si="1"/>
        <v>1852.955048773392</v>
      </c>
      <c r="I31" s="6">
        <f t="shared" si="0"/>
        <v>1682.7175078155985</v>
      </c>
      <c r="J31" s="6">
        <f t="shared" si="2"/>
        <v>3535.6725565889906</v>
      </c>
      <c r="K31" s="7">
        <f t="shared" si="3"/>
        <v>167092.21972449837</v>
      </c>
      <c r="L31" s="9">
        <f t="shared" si="4"/>
        <v>46716</v>
      </c>
      <c r="M31" s="12"/>
      <c r="N31" s="16"/>
      <c r="O31" s="6"/>
    </row>
    <row r="32" spans="3:15" x14ac:dyDescent="0.25">
      <c r="F32" s="10"/>
      <c r="G32" s="4">
        <f t="shared" si="5"/>
        <v>30</v>
      </c>
      <c r="H32" s="11">
        <f t="shared" si="1"/>
        <v>1834.4807423811199</v>
      </c>
      <c r="I32" s="6">
        <f t="shared" si="0"/>
        <v>1701.1918142078707</v>
      </c>
      <c r="J32" s="6">
        <f t="shared" si="2"/>
        <v>3535.6725565889906</v>
      </c>
      <c r="K32" s="7">
        <f t="shared" si="3"/>
        <v>165391.02791029049</v>
      </c>
      <c r="L32" s="9">
        <f t="shared" si="4"/>
        <v>46746</v>
      </c>
      <c r="M32" s="12"/>
      <c r="N32" s="16"/>
      <c r="O32" s="6"/>
    </row>
    <row r="33" spans="6:15" x14ac:dyDescent="0.25">
      <c r="F33" s="10"/>
      <c r="G33" s="4">
        <f t="shared" si="5"/>
        <v>31</v>
      </c>
      <c r="H33" s="11">
        <f t="shared" si="1"/>
        <v>1815.8036093140845</v>
      </c>
      <c r="I33" s="6">
        <f t="shared" si="0"/>
        <v>1719.8689472749056</v>
      </c>
      <c r="J33" s="6">
        <f t="shared" si="2"/>
        <v>3535.6725565889901</v>
      </c>
      <c r="K33" s="7">
        <f t="shared" si="3"/>
        <v>163671.15896301559</v>
      </c>
      <c r="L33" s="9">
        <f t="shared" si="4"/>
        <v>46777</v>
      </c>
      <c r="M33" s="12"/>
      <c r="N33" s="16"/>
      <c r="O33" s="6"/>
    </row>
    <row r="34" spans="6:15" x14ac:dyDescent="0.25">
      <c r="F34" s="10"/>
      <c r="G34" s="4">
        <f t="shared" si="5"/>
        <v>32</v>
      </c>
      <c r="H34" s="11">
        <f t="shared" si="1"/>
        <v>1796.9214227682528</v>
      </c>
      <c r="I34" s="6">
        <f t="shared" si="0"/>
        <v>1738.7511338207378</v>
      </c>
      <c r="J34" s="6">
        <f t="shared" si="2"/>
        <v>3535.6725565889906</v>
      </c>
      <c r="K34" s="7">
        <f t="shared" si="3"/>
        <v>161932.40782919485</v>
      </c>
      <c r="L34" s="9">
        <f t="shared" si="4"/>
        <v>46808</v>
      </c>
      <c r="M34" s="12"/>
      <c r="N34" s="16"/>
      <c r="O34" s="6"/>
    </row>
    <row r="35" spans="6:15" x14ac:dyDescent="0.25">
      <c r="F35" s="10"/>
      <c r="G35" s="4">
        <f t="shared" si="5"/>
        <v>33</v>
      </c>
      <c r="H35" s="11">
        <f t="shared" si="1"/>
        <v>1777.8319314918385</v>
      </c>
      <c r="I35" s="6">
        <f t="shared" ref="I35:I66" si="6">J35-H35</f>
        <v>1757.840625097152</v>
      </c>
      <c r="J35" s="6">
        <f t="shared" si="2"/>
        <v>3535.6725565889906</v>
      </c>
      <c r="K35" s="7">
        <f t="shared" si="3"/>
        <v>160174.56720409769</v>
      </c>
      <c r="L35" s="9">
        <f t="shared" si="4"/>
        <v>46837</v>
      </c>
      <c r="M35" s="12"/>
      <c r="N35" s="16"/>
      <c r="O35" s="6"/>
    </row>
    <row r="36" spans="6:15" x14ac:dyDescent="0.25">
      <c r="F36" s="10"/>
      <c r="G36" s="4">
        <f t="shared" si="5"/>
        <v>34</v>
      </c>
      <c r="H36" s="11">
        <f t="shared" si="1"/>
        <v>1758.5328595168965</v>
      </c>
      <c r="I36" s="6">
        <f t="shared" si="6"/>
        <v>1777.139697072095</v>
      </c>
      <c r="J36" s="6">
        <f t="shared" si="2"/>
        <v>3535.6725565889915</v>
      </c>
      <c r="K36" s="7">
        <f t="shared" si="3"/>
        <v>158397.4275070256</v>
      </c>
      <c r="L36" s="9">
        <f t="shared" si="4"/>
        <v>46868</v>
      </c>
      <c r="M36" s="12"/>
      <c r="N36" s="16"/>
      <c r="O36" s="6"/>
    </row>
    <row r="37" spans="6:15" x14ac:dyDescent="0.25">
      <c r="F37" s="10"/>
      <c r="G37" s="4">
        <f t="shared" si="5"/>
        <v>35</v>
      </c>
      <c r="H37" s="11">
        <f t="shared" si="1"/>
        <v>1739.0219058879659</v>
      </c>
      <c r="I37" s="6">
        <f t="shared" si="6"/>
        <v>1796.6506507010242</v>
      </c>
      <c r="J37" s="6">
        <f t="shared" si="2"/>
        <v>3535.6725565889901</v>
      </c>
      <c r="K37" s="7">
        <f t="shared" si="3"/>
        <v>156600.77685632458</v>
      </c>
      <c r="L37" s="9">
        <f t="shared" si="4"/>
        <v>46898</v>
      </c>
      <c r="M37" s="12"/>
      <c r="N37" s="16"/>
      <c r="O37" s="6"/>
    </row>
    <row r="38" spans="6:15" x14ac:dyDescent="0.25">
      <c r="F38" s="10"/>
      <c r="G38" s="4">
        <f t="shared" si="5"/>
        <v>36</v>
      </c>
      <c r="H38" s="11">
        <f t="shared" si="1"/>
        <v>1719.2967443877367</v>
      </c>
      <c r="I38" s="6">
        <f t="shared" si="6"/>
        <v>1816.3758122012534</v>
      </c>
      <c r="J38" s="6">
        <f t="shared" si="2"/>
        <v>3535.6725565889901</v>
      </c>
      <c r="K38" s="7">
        <f t="shared" si="3"/>
        <v>154784.40104412331</v>
      </c>
      <c r="L38" s="9">
        <f t="shared" si="4"/>
        <v>46929</v>
      </c>
      <c r="M38" s="12"/>
      <c r="N38" s="16"/>
      <c r="O38" s="6"/>
    </row>
    <row r="39" spans="6:15" x14ac:dyDescent="0.25">
      <c r="F39" s="10"/>
      <c r="G39" s="4">
        <f t="shared" si="5"/>
        <v>37</v>
      </c>
      <c r="H39" s="11">
        <f t="shared" si="1"/>
        <v>1699.3550232597029</v>
      </c>
      <c r="I39" s="6">
        <f t="shared" si="6"/>
        <v>1836.3175333292872</v>
      </c>
      <c r="J39" s="6">
        <f t="shared" si="2"/>
        <v>3535.6725565889901</v>
      </c>
      <c r="K39" s="7">
        <f t="shared" si="3"/>
        <v>152948.08351079404</v>
      </c>
      <c r="L39" s="9">
        <f t="shared" si="4"/>
        <v>46959</v>
      </c>
      <c r="M39" s="12"/>
      <c r="N39" s="16"/>
      <c r="O39" s="6"/>
    </row>
    <row r="40" spans="6:15" x14ac:dyDescent="0.25">
      <c r="F40" s="10"/>
      <c r="G40" s="4">
        <f t="shared" si="5"/>
        <v>38</v>
      </c>
      <c r="H40" s="11">
        <f t="shared" si="1"/>
        <v>1679.194364927773</v>
      </c>
      <c r="I40" s="6">
        <f t="shared" si="6"/>
        <v>1856.4781916612176</v>
      </c>
      <c r="J40" s="6">
        <f t="shared" si="2"/>
        <v>3535.6725565889906</v>
      </c>
      <c r="K40" s="7">
        <f t="shared" si="3"/>
        <v>151091.60531913282</v>
      </c>
      <c r="L40" s="9">
        <f t="shared" si="4"/>
        <v>46990</v>
      </c>
      <c r="M40" s="12"/>
      <c r="N40" s="16"/>
      <c r="O40" s="6"/>
    </row>
    <row r="41" spans="6:15" x14ac:dyDescent="0.25">
      <c r="F41" s="10"/>
      <c r="G41" s="4">
        <f t="shared" si="5"/>
        <v>39</v>
      </c>
      <c r="H41" s="11">
        <f t="shared" si="1"/>
        <v>1658.812365712799</v>
      </c>
      <c r="I41" s="6">
        <f t="shared" si="6"/>
        <v>1876.8601908761916</v>
      </c>
      <c r="J41" s="6">
        <f t="shared" si="2"/>
        <v>3535.6725565889906</v>
      </c>
      <c r="K41" s="7">
        <f t="shared" si="3"/>
        <v>149214.74512825665</v>
      </c>
      <c r="L41" s="9">
        <f t="shared" si="4"/>
        <v>47021</v>
      </c>
      <c r="M41" s="12"/>
      <c r="N41" s="16"/>
      <c r="O41" s="6"/>
    </row>
    <row r="42" spans="6:15" x14ac:dyDescent="0.25">
      <c r="F42" s="10"/>
      <c r="G42" s="4">
        <f t="shared" si="5"/>
        <v>40</v>
      </c>
      <c r="H42" s="11">
        <f t="shared" si="1"/>
        <v>1638.206595545995</v>
      </c>
      <c r="I42" s="6">
        <f t="shared" si="6"/>
        <v>1897.4659610429951</v>
      </c>
      <c r="J42" s="6">
        <f t="shared" si="2"/>
        <v>3535.6725565889901</v>
      </c>
      <c r="K42" s="7">
        <f t="shared" si="3"/>
        <v>147317.27916721365</v>
      </c>
      <c r="L42" s="9">
        <f t="shared" si="4"/>
        <v>47051</v>
      </c>
      <c r="M42" s="12"/>
      <c r="N42" s="16"/>
      <c r="O42" s="6"/>
    </row>
    <row r="43" spans="6:15" x14ac:dyDescent="0.25">
      <c r="F43" s="10"/>
      <c r="G43" s="4">
        <f t="shared" si="5"/>
        <v>41</v>
      </c>
      <c r="H43" s="11">
        <f t="shared" si="1"/>
        <v>1617.3745976792104</v>
      </c>
      <c r="I43" s="6">
        <f t="shared" si="6"/>
        <v>1918.2979589097802</v>
      </c>
      <c r="J43" s="6">
        <f t="shared" si="2"/>
        <v>3535.6725565889906</v>
      </c>
      <c r="K43" s="7">
        <f t="shared" si="3"/>
        <v>145398.98120830389</v>
      </c>
      <c r="L43" s="9">
        <f t="shared" si="4"/>
        <v>47082</v>
      </c>
      <c r="M43" s="12"/>
      <c r="N43" s="16"/>
      <c r="O43" s="6"/>
    </row>
    <row r="44" spans="6:15" x14ac:dyDescent="0.25">
      <c r="F44" s="10"/>
      <c r="G44" s="4">
        <f t="shared" si="5"/>
        <v>42</v>
      </c>
      <c r="H44" s="11">
        <f t="shared" si="1"/>
        <v>1596.3138883920201</v>
      </c>
      <c r="I44" s="6">
        <f t="shared" si="6"/>
        <v>1939.3586681969705</v>
      </c>
      <c r="J44" s="6">
        <f t="shared" si="2"/>
        <v>3535.6725565889906</v>
      </c>
      <c r="K44" s="7">
        <f t="shared" si="3"/>
        <v>143459.62254010691</v>
      </c>
      <c r="L44" s="9">
        <f t="shared" si="4"/>
        <v>47112</v>
      </c>
      <c r="M44" s="12"/>
      <c r="N44" s="16"/>
      <c r="O44" s="6"/>
    </row>
    <row r="45" spans="6:15" x14ac:dyDescent="0.25">
      <c r="F45" s="10"/>
      <c r="G45" s="4">
        <f t="shared" si="5"/>
        <v>43</v>
      </c>
      <c r="H45" s="11">
        <f t="shared" si="1"/>
        <v>1575.0219566956</v>
      </c>
      <c r="I45" s="6">
        <f t="shared" si="6"/>
        <v>1960.6505998933906</v>
      </c>
      <c r="J45" s="6">
        <f t="shared" si="2"/>
        <v>3535.6725565889906</v>
      </c>
      <c r="K45" s="7">
        <f t="shared" si="3"/>
        <v>141498.97194021352</v>
      </c>
      <c r="L45" s="9">
        <f t="shared" si="4"/>
        <v>47143</v>
      </c>
      <c r="M45" s="12"/>
      <c r="N45" s="16"/>
      <c r="O45" s="6"/>
    </row>
    <row r="46" spans="6:15" x14ac:dyDescent="0.25">
      <c r="F46" s="10"/>
      <c r="G46" s="4">
        <f t="shared" si="5"/>
        <v>44</v>
      </c>
      <c r="H46" s="11">
        <f t="shared" si="1"/>
        <v>1553.4962640333517</v>
      </c>
      <c r="I46" s="6">
        <f t="shared" si="6"/>
        <v>1982.1762925556397</v>
      </c>
      <c r="J46" s="6">
        <f t="shared" si="2"/>
        <v>3535.6725565889915</v>
      </c>
      <c r="K46" s="7">
        <f t="shared" si="3"/>
        <v>139516.79564765788</v>
      </c>
      <c r="L46" s="9">
        <f t="shared" si="4"/>
        <v>47174</v>
      </c>
      <c r="M46" s="12"/>
      <c r="N46" s="16"/>
      <c r="O46" s="6"/>
    </row>
    <row r="47" spans="6:15" x14ac:dyDescent="0.25">
      <c r="F47" s="10"/>
      <c r="G47" s="4">
        <f t="shared" si="5"/>
        <v>45</v>
      </c>
      <c r="H47" s="11">
        <f t="shared" si="1"/>
        <v>1531.7342439782396</v>
      </c>
      <c r="I47" s="6">
        <f t="shared" si="6"/>
        <v>2003.9383126107523</v>
      </c>
      <c r="J47" s="6">
        <f t="shared" si="2"/>
        <v>3535.6725565889919</v>
      </c>
      <c r="K47" s="7">
        <f t="shared" si="3"/>
        <v>137512.85733504713</v>
      </c>
      <c r="L47" s="9">
        <f t="shared" si="4"/>
        <v>47202</v>
      </c>
      <c r="M47" s="12"/>
      <c r="N47" s="16"/>
      <c r="O47" s="6"/>
    </row>
    <row r="48" spans="6:15" x14ac:dyDescent="0.25">
      <c r="F48" s="10"/>
      <c r="G48" s="4">
        <f t="shared" si="5"/>
        <v>46</v>
      </c>
      <c r="H48" s="11">
        <f t="shared" si="1"/>
        <v>1509.7333019268058</v>
      </c>
      <c r="I48" s="6">
        <f t="shared" si="6"/>
        <v>2025.9392546621848</v>
      </c>
      <c r="J48" s="6">
        <f t="shared" si="2"/>
        <v>3535.6725565889906</v>
      </c>
      <c r="K48" s="7">
        <f t="shared" si="3"/>
        <v>135486.91808038493</v>
      </c>
      <c r="L48" s="9">
        <f t="shared" si="4"/>
        <v>47233</v>
      </c>
      <c r="M48" s="12"/>
      <c r="N48" s="16"/>
      <c r="O48" s="6"/>
    </row>
    <row r="49" spans="6:15" x14ac:dyDescent="0.25">
      <c r="F49" s="10"/>
      <c r="G49" s="4">
        <f t="shared" si="5"/>
        <v>47</v>
      </c>
      <c r="H49" s="11">
        <f t="shared" si="1"/>
        <v>1487.4908147898248</v>
      </c>
      <c r="I49" s="6">
        <f t="shared" si="6"/>
        <v>2048.181741799166</v>
      </c>
      <c r="J49" s="6">
        <f t="shared" si="2"/>
        <v>3535.6725565889906</v>
      </c>
      <c r="K49" s="7">
        <f t="shared" si="3"/>
        <v>133438.73633858576</v>
      </c>
      <c r="L49" s="9">
        <f t="shared" si="4"/>
        <v>47263</v>
      </c>
      <c r="M49" s="12"/>
      <c r="N49" s="16"/>
      <c r="O49" s="6"/>
    </row>
    <row r="50" spans="6:15" x14ac:dyDescent="0.25">
      <c r="F50" s="10"/>
      <c r="G50" s="4">
        <f t="shared" si="5"/>
        <v>48</v>
      </c>
      <c r="H50" s="11">
        <f t="shared" si="1"/>
        <v>1465.0041306795633</v>
      </c>
      <c r="I50" s="6">
        <f t="shared" si="6"/>
        <v>2070.6684259094272</v>
      </c>
      <c r="J50" s="6">
        <f t="shared" si="2"/>
        <v>3535.6725565889906</v>
      </c>
      <c r="K50" s="7">
        <f t="shared" si="3"/>
        <v>131368.06791267634</v>
      </c>
      <c r="L50" s="9">
        <f t="shared" si="4"/>
        <v>47294</v>
      </c>
      <c r="M50" s="12"/>
      <c r="N50" s="16"/>
      <c r="O50" s="6"/>
    </row>
    <row r="51" spans="6:15" x14ac:dyDescent="0.25">
      <c r="F51" s="10"/>
      <c r="G51" s="4">
        <f t="shared" si="5"/>
        <v>49</v>
      </c>
      <c r="H51" s="11">
        <f t="shared" si="1"/>
        <v>1442.270568593605</v>
      </c>
      <c r="I51" s="6">
        <f t="shared" si="6"/>
        <v>2093.4019879953867</v>
      </c>
      <c r="J51" s="6">
        <f t="shared" si="2"/>
        <v>3535.6725565889915</v>
      </c>
      <c r="K51" s="7">
        <f t="shared" si="3"/>
        <v>129274.66592468096</v>
      </c>
      <c r="L51" s="9">
        <f t="shared" si="4"/>
        <v>47324</v>
      </c>
      <c r="M51" s="12"/>
      <c r="N51" s="16"/>
      <c r="O51" s="6"/>
    </row>
    <row r="52" spans="6:15" x14ac:dyDescent="0.25">
      <c r="F52" s="10"/>
      <c r="G52" s="4">
        <f t="shared" si="5"/>
        <v>50</v>
      </c>
      <c r="H52" s="11">
        <f t="shared" si="1"/>
        <v>1419.2874180952049</v>
      </c>
      <c r="I52" s="6">
        <f t="shared" si="6"/>
        <v>2116.3851384937866</v>
      </c>
      <c r="J52" s="6">
        <f t="shared" si="2"/>
        <v>3535.6725565889915</v>
      </c>
      <c r="K52" s="7">
        <f t="shared" si="3"/>
        <v>127158.28078618717</v>
      </c>
      <c r="L52" s="9">
        <f t="shared" si="4"/>
        <v>47355</v>
      </c>
      <c r="M52" s="12"/>
      <c r="N52" s="16"/>
      <c r="O52" s="6"/>
    </row>
    <row r="53" spans="6:15" x14ac:dyDescent="0.25">
      <c r="F53" s="10"/>
      <c r="G53" s="4">
        <f t="shared" si="5"/>
        <v>51</v>
      </c>
      <c r="H53" s="11">
        <f t="shared" si="1"/>
        <v>1396.0519389901344</v>
      </c>
      <c r="I53" s="6">
        <f t="shared" si="6"/>
        <v>2139.6206175988573</v>
      </c>
      <c r="J53" s="6">
        <f t="shared" si="2"/>
        <v>3535.6725565889915</v>
      </c>
      <c r="K53" s="7">
        <f t="shared" si="3"/>
        <v>125018.66016858831</v>
      </c>
      <c r="L53" s="9">
        <f t="shared" si="4"/>
        <v>47386</v>
      </c>
      <c r="M53" s="12"/>
      <c r="N53" s="16"/>
      <c r="O53" s="6"/>
    </row>
    <row r="54" spans="6:15" x14ac:dyDescent="0.25">
      <c r="F54" s="10"/>
      <c r="G54" s="4">
        <f t="shared" si="5"/>
        <v>52</v>
      </c>
      <c r="H54" s="11">
        <f t="shared" si="1"/>
        <v>1372.5613609999778</v>
      </c>
      <c r="I54" s="6">
        <f t="shared" si="6"/>
        <v>2163.1111955890137</v>
      </c>
      <c r="J54" s="6">
        <f t="shared" si="2"/>
        <v>3535.6725565889915</v>
      </c>
      <c r="K54" s="7">
        <f t="shared" si="3"/>
        <v>122855.5489729993</v>
      </c>
      <c r="L54" s="9">
        <f t="shared" si="4"/>
        <v>47416</v>
      </c>
      <c r="M54" s="12"/>
      <c r="N54" s="16"/>
      <c r="O54" s="6"/>
    </row>
    <row r="55" spans="6:15" x14ac:dyDescent="0.25">
      <c r="F55" s="10"/>
      <c r="G55" s="4">
        <f t="shared" si="5"/>
        <v>53</v>
      </c>
      <c r="H55" s="11">
        <f t="shared" si="1"/>
        <v>1348.8128834318434</v>
      </c>
      <c r="I55" s="6">
        <f t="shared" si="6"/>
        <v>2186.859673157147</v>
      </c>
      <c r="J55" s="6">
        <f t="shared" si="2"/>
        <v>3535.6725565889906</v>
      </c>
      <c r="K55" s="7">
        <f t="shared" si="3"/>
        <v>120668.68929984215</v>
      </c>
      <c r="L55" s="9">
        <f t="shared" si="4"/>
        <v>47447</v>
      </c>
      <c r="M55" s="12"/>
      <c r="N55" s="16"/>
      <c r="O55" s="6"/>
    </row>
    <row r="56" spans="6:15" x14ac:dyDescent="0.25">
      <c r="F56" s="10"/>
      <c r="G56" s="4">
        <f t="shared" si="5"/>
        <v>54</v>
      </c>
      <c r="H56" s="11">
        <f t="shared" si="1"/>
        <v>1324.8036748444463</v>
      </c>
      <c r="I56" s="6">
        <f t="shared" si="6"/>
        <v>2210.8688817445454</v>
      </c>
      <c r="J56" s="6">
        <f t="shared" si="2"/>
        <v>3535.6725565889915</v>
      </c>
      <c r="K56" s="7">
        <f t="shared" si="3"/>
        <v>118457.8204180976</v>
      </c>
      <c r="L56" s="9">
        <f t="shared" si="4"/>
        <v>47477</v>
      </c>
      <c r="M56" s="12"/>
      <c r="N56" s="16"/>
      <c r="O56" s="6"/>
    </row>
    <row r="57" spans="6:15" x14ac:dyDescent="0.25">
      <c r="F57" s="10"/>
      <c r="G57" s="4">
        <f t="shared" si="5"/>
        <v>55</v>
      </c>
      <c r="H57" s="11">
        <f t="shared" si="1"/>
        <v>1300.5308727105273</v>
      </c>
      <c r="I57" s="6">
        <f t="shared" si="6"/>
        <v>2235.1416838784635</v>
      </c>
      <c r="J57" s="6">
        <f t="shared" si="2"/>
        <v>3535.6725565889906</v>
      </c>
      <c r="K57" s="7">
        <f t="shared" si="3"/>
        <v>116222.67873421914</v>
      </c>
      <c r="L57" s="9">
        <f t="shared" si="4"/>
        <v>47508</v>
      </c>
      <c r="M57" s="12"/>
      <c r="N57" s="16"/>
      <c r="O57" s="6"/>
    </row>
    <row r="58" spans="6:15" x14ac:dyDescent="0.25">
      <c r="F58" s="10"/>
      <c r="G58" s="4">
        <f t="shared" si="5"/>
        <v>56</v>
      </c>
      <c r="H58" s="11">
        <f t="shared" si="1"/>
        <v>1275.9915830755642</v>
      </c>
      <c r="I58" s="6">
        <f t="shared" si="6"/>
        <v>2259.6809735134266</v>
      </c>
      <c r="J58" s="6">
        <f t="shared" si="2"/>
        <v>3535.6725565889906</v>
      </c>
      <c r="K58" s="7">
        <f t="shared" si="3"/>
        <v>113962.99776070571</v>
      </c>
      <c r="L58" s="9">
        <f t="shared" si="4"/>
        <v>47539</v>
      </c>
      <c r="M58" s="12"/>
      <c r="N58" s="16"/>
      <c r="O58" s="6"/>
    </row>
    <row r="59" spans="6:15" x14ac:dyDescent="0.25">
      <c r="F59" s="10"/>
      <c r="G59" s="4">
        <f t="shared" si="5"/>
        <v>57</v>
      </c>
      <c r="H59" s="11">
        <f t="shared" si="1"/>
        <v>1251.1828802127366</v>
      </c>
      <c r="I59" s="6">
        <f t="shared" si="6"/>
        <v>2284.4896763762549</v>
      </c>
      <c r="J59" s="6">
        <f t="shared" si="2"/>
        <v>3535.6725565889915</v>
      </c>
      <c r="K59" s="7">
        <f t="shared" si="3"/>
        <v>111678.50808432946</v>
      </c>
      <c r="L59" s="9">
        <f t="shared" si="4"/>
        <v>47567</v>
      </c>
      <c r="M59" s="12"/>
      <c r="N59" s="16"/>
      <c r="O59" s="6"/>
    </row>
    <row r="60" spans="6:15" x14ac:dyDescent="0.25">
      <c r="F60" s="10"/>
      <c r="G60" s="4">
        <f t="shared" si="5"/>
        <v>58</v>
      </c>
      <c r="H60" s="11">
        <f t="shared" si="1"/>
        <v>1226.101806274102</v>
      </c>
      <c r="I60" s="6">
        <f t="shared" si="6"/>
        <v>2309.5707503148897</v>
      </c>
      <c r="J60" s="6">
        <f t="shared" si="2"/>
        <v>3535.6725565889915</v>
      </c>
      <c r="K60" s="7">
        <f t="shared" si="3"/>
        <v>109368.93733401457</v>
      </c>
      <c r="L60" s="9">
        <f t="shared" si="4"/>
        <v>47598</v>
      </c>
      <c r="M60" s="12"/>
      <c r="N60" s="16"/>
      <c r="O60" s="6"/>
    </row>
    <row r="61" spans="6:15" x14ac:dyDescent="0.25">
      <c r="F61" s="10"/>
      <c r="G61" s="4">
        <f t="shared" si="5"/>
        <v>59</v>
      </c>
      <c r="H61" s="11">
        <f t="shared" si="1"/>
        <v>1200.7453709379438</v>
      </c>
      <c r="I61" s="6">
        <f t="shared" si="6"/>
        <v>2334.9271856510477</v>
      </c>
      <c r="J61" s="6">
        <f t="shared" si="2"/>
        <v>3535.6725565889915</v>
      </c>
      <c r="K61" s="7">
        <f t="shared" si="3"/>
        <v>107034.01014836352</v>
      </c>
      <c r="L61" s="9">
        <f t="shared" si="4"/>
        <v>47628</v>
      </c>
      <c r="M61" s="12"/>
      <c r="N61" s="16"/>
      <c r="O61" s="6"/>
    </row>
    <row r="62" spans="6:15" x14ac:dyDescent="0.25">
      <c r="F62" s="10"/>
      <c r="G62" s="4">
        <f t="shared" si="5"/>
        <v>60</v>
      </c>
      <c r="H62" s="11">
        <f t="shared" si="1"/>
        <v>1175.1105510522459</v>
      </c>
      <c r="I62" s="6">
        <f t="shared" si="6"/>
        <v>2360.5620055367444</v>
      </c>
      <c r="J62" s="6">
        <f t="shared" si="2"/>
        <v>3535.6725565889906</v>
      </c>
      <c r="K62" s="7">
        <f t="shared" si="3"/>
        <v>104673.44814282678</v>
      </c>
      <c r="L62" s="9">
        <f t="shared" si="4"/>
        <v>47659</v>
      </c>
      <c r="M62" s="12"/>
      <c r="N62" s="16"/>
      <c r="O62" s="6"/>
    </row>
    <row r="63" spans="6:15" x14ac:dyDescent="0.25">
      <c r="F63" s="10"/>
      <c r="G63" s="4">
        <f t="shared" si="5"/>
        <v>61</v>
      </c>
      <c r="H63" s="11">
        <f t="shared" si="1"/>
        <v>1149.1942902742535</v>
      </c>
      <c r="I63" s="6">
        <f t="shared" si="6"/>
        <v>2386.4782663147371</v>
      </c>
      <c r="J63" s="6">
        <f t="shared" si="2"/>
        <v>3535.6725565889906</v>
      </c>
      <c r="K63" s="7">
        <f t="shared" si="3"/>
        <v>102286.96987651204</v>
      </c>
      <c r="L63" s="9">
        <f t="shared" si="4"/>
        <v>47689</v>
      </c>
      <c r="M63" s="12"/>
      <c r="N63" s="16"/>
      <c r="O63" s="6"/>
    </row>
    <row r="64" spans="6:15" x14ac:dyDescent="0.25">
      <c r="F64" s="10"/>
      <c r="G64" s="4">
        <f t="shared" si="5"/>
        <v>62</v>
      </c>
      <c r="H64" s="11">
        <f t="shared" si="1"/>
        <v>1122.9934987060774</v>
      </c>
      <c r="I64" s="6">
        <f t="shared" si="6"/>
        <v>2412.6790578829141</v>
      </c>
      <c r="J64" s="6">
        <f t="shared" si="2"/>
        <v>3535.6725565889915</v>
      </c>
      <c r="K64" s="7">
        <f t="shared" si="3"/>
        <v>99874.290818629132</v>
      </c>
      <c r="L64" s="9">
        <f t="shared" si="4"/>
        <v>47720</v>
      </c>
      <c r="M64" s="12"/>
      <c r="N64" s="16"/>
      <c r="O64" s="6"/>
    </row>
    <row r="65" spans="6:15" x14ac:dyDescent="0.25">
      <c r="F65" s="10"/>
      <c r="G65" s="4">
        <f t="shared" si="5"/>
        <v>63</v>
      </c>
      <c r="H65" s="11">
        <f t="shared" si="1"/>
        <v>1096.5050525262968</v>
      </c>
      <c r="I65" s="6">
        <f t="shared" si="6"/>
        <v>2439.1675040626947</v>
      </c>
      <c r="J65" s="6">
        <f t="shared" si="2"/>
        <v>3535.6725565889915</v>
      </c>
      <c r="K65" s="7">
        <f t="shared" si="3"/>
        <v>97435.12331456643</v>
      </c>
      <c r="L65" s="9">
        <f t="shared" si="4"/>
        <v>47751</v>
      </c>
      <c r="M65" s="12"/>
      <c r="N65" s="16"/>
      <c r="O65" s="6"/>
    </row>
    <row r="66" spans="6:15" x14ac:dyDescent="0.25">
      <c r="F66" s="10"/>
      <c r="G66" s="4">
        <f t="shared" si="5"/>
        <v>64</v>
      </c>
      <c r="H66" s="11">
        <f t="shared" si="1"/>
        <v>1069.7257936175183</v>
      </c>
      <c r="I66" s="6">
        <f t="shared" si="6"/>
        <v>2465.9467629714723</v>
      </c>
      <c r="J66" s="6">
        <f t="shared" si="2"/>
        <v>3535.6725565889906</v>
      </c>
      <c r="K66" s="7">
        <f t="shared" si="3"/>
        <v>94969.176551594952</v>
      </c>
      <c r="L66" s="9">
        <f t="shared" si="4"/>
        <v>47781</v>
      </c>
      <c r="M66" s="12"/>
      <c r="N66" s="16"/>
      <c r="O66" s="6"/>
    </row>
    <row r="67" spans="6:15" x14ac:dyDescent="0.25">
      <c r="F67" s="10"/>
      <c r="G67" s="4">
        <f t="shared" si="5"/>
        <v>65</v>
      </c>
      <c r="H67" s="11">
        <f t="shared" si="1"/>
        <v>1042.6525291898452</v>
      </c>
      <c r="I67" s="6">
        <f t="shared" ref="I67:I98" si="7">J67-H67</f>
        <v>2493.0200273991454</v>
      </c>
      <c r="J67" s="6">
        <f t="shared" si="2"/>
        <v>3535.6725565889906</v>
      </c>
      <c r="K67" s="7">
        <f t="shared" si="3"/>
        <v>92476.156524195801</v>
      </c>
      <c r="L67" s="9">
        <f t="shared" si="4"/>
        <v>47812</v>
      </c>
      <c r="M67" s="12"/>
      <c r="N67" s="16"/>
      <c r="O67" s="6"/>
    </row>
    <row r="68" spans="6:15" x14ac:dyDescent="0.25">
      <c r="F68" s="10"/>
      <c r="G68" s="4">
        <f t="shared" si="5"/>
        <v>66</v>
      </c>
      <c r="H68" s="11">
        <f t="shared" ref="H68:H98" si="8">$D$13*K67</f>
        <v>1015.2820314002124</v>
      </c>
      <c r="I68" s="6">
        <f t="shared" si="7"/>
        <v>2520.3905251887782</v>
      </c>
      <c r="J68" s="6">
        <f t="shared" ref="J68:J98" si="9">PMT($D$13,($D$16-G67),-K67,,0)</f>
        <v>3535.6725565889906</v>
      </c>
      <c r="K68" s="7">
        <f t="shared" ref="K68:K98" si="10">K67-I68</f>
        <v>89955.765999007024</v>
      </c>
      <c r="L68" s="9">
        <f t="shared" si="4"/>
        <v>47842</v>
      </c>
      <c r="M68" s="12"/>
      <c r="N68" s="16"/>
      <c r="O68" s="6"/>
    </row>
    <row r="69" spans="6:15" x14ac:dyDescent="0.25">
      <c r="F69" s="10"/>
      <c r="G69" s="4">
        <f t="shared" si="5"/>
        <v>67</v>
      </c>
      <c r="H69" s="11">
        <f t="shared" si="8"/>
        <v>987.61103696754492</v>
      </c>
      <c r="I69" s="6">
        <f t="shared" si="7"/>
        <v>2548.0615196214458</v>
      </c>
      <c r="J69" s="6">
        <f t="shared" si="9"/>
        <v>3535.6725565889906</v>
      </c>
      <c r="K69" s="7">
        <f t="shared" si="10"/>
        <v>87407.704479385575</v>
      </c>
      <c r="L69" s="9">
        <f t="shared" ref="L69:L98" si="11">EDATE(L68,1)</f>
        <v>47873</v>
      </c>
      <c r="M69" s="12"/>
      <c r="N69" s="16"/>
      <c r="O69" s="6"/>
    </row>
    <row r="70" spans="6:15" x14ac:dyDescent="0.25">
      <c r="F70" s="10"/>
      <c r="G70" s="4">
        <f t="shared" si="5"/>
        <v>68</v>
      </c>
      <c r="H70" s="11">
        <f t="shared" si="8"/>
        <v>959.63624678368706</v>
      </c>
      <c r="I70" s="6">
        <f t="shared" si="7"/>
        <v>2576.0363098053035</v>
      </c>
      <c r="J70" s="6">
        <f t="shared" si="9"/>
        <v>3535.6725565889906</v>
      </c>
      <c r="K70" s="7">
        <f t="shared" si="10"/>
        <v>84831.668169580269</v>
      </c>
      <c r="L70" s="9">
        <f t="shared" si="11"/>
        <v>47904</v>
      </c>
      <c r="M70" s="12"/>
      <c r="N70" s="16"/>
      <c r="O70" s="6"/>
    </row>
    <row r="71" spans="6:15" x14ac:dyDescent="0.25">
      <c r="F71" s="10"/>
      <c r="G71" s="4">
        <f t="shared" si="5"/>
        <v>69</v>
      </c>
      <c r="H71" s="11">
        <f t="shared" si="8"/>
        <v>931.35432552006341</v>
      </c>
      <c r="I71" s="6">
        <f t="shared" si="7"/>
        <v>2604.3182310689272</v>
      </c>
      <c r="J71" s="6">
        <f t="shared" si="9"/>
        <v>3535.6725565889906</v>
      </c>
      <c r="K71" s="7">
        <f t="shared" si="10"/>
        <v>82227.349938511339</v>
      </c>
      <c r="L71" s="9">
        <f t="shared" si="11"/>
        <v>47932</v>
      </c>
      <c r="M71" s="12"/>
      <c r="N71" s="16"/>
      <c r="O71" s="6"/>
    </row>
    <row r="72" spans="6:15" x14ac:dyDescent="0.25">
      <c r="F72" s="10"/>
      <c r="G72" s="4">
        <f t="shared" si="5"/>
        <v>70</v>
      </c>
      <c r="H72" s="11">
        <f t="shared" si="8"/>
        <v>902.76190123002004</v>
      </c>
      <c r="I72" s="6">
        <f t="shared" si="7"/>
        <v>2632.9106553589704</v>
      </c>
      <c r="J72" s="6">
        <f t="shared" si="9"/>
        <v>3535.6725565889906</v>
      </c>
      <c r="K72" s="7">
        <f t="shared" si="10"/>
        <v>79594.439283152373</v>
      </c>
      <c r="L72" s="9">
        <f t="shared" si="11"/>
        <v>47963</v>
      </c>
      <c r="M72" s="12"/>
      <c r="N72" s="16"/>
      <c r="O72" s="6"/>
    </row>
    <row r="73" spans="6:15" x14ac:dyDescent="0.25">
      <c r="F73" s="10"/>
      <c r="G73" s="4">
        <f t="shared" si="5"/>
        <v>71</v>
      </c>
      <c r="H73" s="11">
        <f t="shared" si="8"/>
        <v>873.85556494679986</v>
      </c>
      <c r="I73" s="6">
        <f t="shared" si="7"/>
        <v>2661.8169916421903</v>
      </c>
      <c r="J73" s="6">
        <f t="shared" si="9"/>
        <v>3535.6725565889901</v>
      </c>
      <c r="K73" s="7">
        <f t="shared" si="10"/>
        <v>76932.622291510183</v>
      </c>
      <c r="L73" s="9">
        <f t="shared" si="11"/>
        <v>47993</v>
      </c>
      <c r="M73" s="12"/>
      <c r="N73" s="16"/>
      <c r="O73" s="6"/>
    </row>
    <row r="74" spans="6:15" x14ac:dyDescent="0.25">
      <c r="F74" s="10"/>
      <c r="G74" s="4">
        <f t="shared" si="5"/>
        <v>72</v>
      </c>
      <c r="H74" s="11">
        <f t="shared" si="8"/>
        <v>844.6318702771041</v>
      </c>
      <c r="I74" s="6">
        <f t="shared" si="7"/>
        <v>2691.040686311886</v>
      </c>
      <c r="J74" s="6">
        <f t="shared" si="9"/>
        <v>3535.6725565889901</v>
      </c>
      <c r="K74" s="7">
        <f t="shared" si="10"/>
        <v>74241.581605198298</v>
      </c>
      <c r="L74" s="9">
        <f t="shared" si="11"/>
        <v>48024</v>
      </c>
      <c r="M74" s="12"/>
      <c r="N74" s="16"/>
      <c r="O74" s="6"/>
    </row>
    <row r="75" spans="6:15" x14ac:dyDescent="0.25">
      <c r="F75" s="10"/>
      <c r="G75" s="4">
        <f t="shared" si="5"/>
        <v>73</v>
      </c>
      <c r="H75" s="11">
        <f t="shared" si="8"/>
        <v>815.08733299019275</v>
      </c>
      <c r="I75" s="6">
        <f t="shared" si="7"/>
        <v>2720.5852235987977</v>
      </c>
      <c r="J75" s="6">
        <f t="shared" si="9"/>
        <v>3535.6725565889906</v>
      </c>
      <c r="K75" s="7">
        <f t="shared" si="10"/>
        <v>71520.9963815995</v>
      </c>
      <c r="L75" s="9">
        <f t="shared" si="11"/>
        <v>48054</v>
      </c>
      <c r="M75" s="12"/>
      <c r="N75" s="16"/>
      <c r="O75" s="6"/>
    </row>
    <row r="76" spans="6:15" x14ac:dyDescent="0.25">
      <c r="F76" s="10"/>
      <c r="G76" s="4">
        <f t="shared" si="5"/>
        <v>74</v>
      </c>
      <c r="H76" s="11">
        <f t="shared" si="8"/>
        <v>785.21843060247204</v>
      </c>
      <c r="I76" s="6">
        <f t="shared" si="7"/>
        <v>2750.4541259865186</v>
      </c>
      <c r="J76" s="6">
        <f t="shared" si="9"/>
        <v>3535.6725565889906</v>
      </c>
      <c r="K76" s="7">
        <f t="shared" si="10"/>
        <v>68770.542255612978</v>
      </c>
      <c r="L76" s="9">
        <f t="shared" si="11"/>
        <v>48085</v>
      </c>
      <c r="M76" s="12"/>
      <c r="N76" s="16"/>
      <c r="O76" s="6"/>
    </row>
    <row r="77" spans="6:15" x14ac:dyDescent="0.25">
      <c r="F77" s="10"/>
      <c r="G77" s="4">
        <f t="shared" si="5"/>
        <v>75</v>
      </c>
      <c r="H77" s="11">
        <f t="shared" si="8"/>
        <v>755.02160195752231</v>
      </c>
      <c r="I77" s="6">
        <f t="shared" si="7"/>
        <v>2780.6509546314683</v>
      </c>
      <c r="J77" s="6">
        <f t="shared" si="9"/>
        <v>3535.6725565889906</v>
      </c>
      <c r="K77" s="7">
        <f t="shared" si="10"/>
        <v>65989.891300981515</v>
      </c>
      <c r="L77" s="9">
        <f t="shared" si="11"/>
        <v>48116</v>
      </c>
      <c r="M77" s="12"/>
      <c r="N77" s="16"/>
      <c r="O77" s="6"/>
    </row>
    <row r="78" spans="6:15" x14ac:dyDescent="0.25">
      <c r="F78" s="10"/>
      <c r="G78" s="4">
        <f t="shared" si="5"/>
        <v>76</v>
      </c>
      <c r="H78" s="11">
        <f t="shared" si="8"/>
        <v>724.49324680151494</v>
      </c>
      <c r="I78" s="6">
        <f t="shared" si="7"/>
        <v>2811.1793097874756</v>
      </c>
      <c r="J78" s="6">
        <f t="shared" si="9"/>
        <v>3535.6725565889906</v>
      </c>
      <c r="K78" s="7">
        <f t="shared" si="10"/>
        <v>63178.711991194039</v>
      </c>
      <c r="L78" s="9">
        <f t="shared" si="11"/>
        <v>48146</v>
      </c>
      <c r="M78" s="12"/>
      <c r="N78" s="16"/>
      <c r="O78" s="6"/>
    </row>
    <row r="79" spans="6:15" x14ac:dyDescent="0.25">
      <c r="F79" s="10"/>
      <c r="G79" s="4">
        <f t="shared" si="5"/>
        <v>77</v>
      </c>
      <c r="H79" s="11">
        <f t="shared" si="8"/>
        <v>693.6297253539675</v>
      </c>
      <c r="I79" s="6">
        <f t="shared" si="7"/>
        <v>2842.0428312350232</v>
      </c>
      <c r="J79" s="6">
        <f t="shared" si="9"/>
        <v>3535.6725565889906</v>
      </c>
      <c r="K79" s="7">
        <f t="shared" si="10"/>
        <v>60336.669159959012</v>
      </c>
      <c r="L79" s="9">
        <f t="shared" si="11"/>
        <v>48177</v>
      </c>
      <c r="M79" s="12"/>
      <c r="N79" s="16"/>
      <c r="O79" s="6"/>
    </row>
    <row r="80" spans="6:15" x14ac:dyDescent="0.25">
      <c r="F80" s="10"/>
      <c r="G80" s="4">
        <f t="shared" ref="G80:G87" si="12">G79+1</f>
        <v>78</v>
      </c>
      <c r="H80" s="11">
        <f t="shared" si="8"/>
        <v>662.42735787378638</v>
      </c>
      <c r="I80" s="6">
        <f t="shared" si="7"/>
        <v>2873.2451987152044</v>
      </c>
      <c r="J80" s="6">
        <f t="shared" si="9"/>
        <v>3535.6725565889906</v>
      </c>
      <c r="K80" s="7">
        <f t="shared" si="10"/>
        <v>57463.42396124381</v>
      </c>
      <c r="L80" s="9">
        <f t="shared" si="11"/>
        <v>48207</v>
      </c>
      <c r="M80" s="12"/>
      <c r="N80" s="16"/>
      <c r="O80" s="6"/>
    </row>
    <row r="81" spans="6:15" x14ac:dyDescent="0.25">
      <c r="F81" s="10"/>
      <c r="G81" s="4">
        <f t="shared" si="12"/>
        <v>79</v>
      </c>
      <c r="H81" s="11">
        <f t="shared" si="8"/>
        <v>630.88242422054543</v>
      </c>
      <c r="I81" s="6">
        <f t="shared" si="7"/>
        <v>2904.7901323684459</v>
      </c>
      <c r="J81" s="6">
        <f t="shared" si="9"/>
        <v>3535.6725565889915</v>
      </c>
      <c r="K81" s="7">
        <f t="shared" si="10"/>
        <v>54558.633828875361</v>
      </c>
      <c r="L81" s="9">
        <f t="shared" si="11"/>
        <v>48238</v>
      </c>
      <c r="M81" s="12"/>
      <c r="N81" s="16"/>
      <c r="O81" s="6"/>
    </row>
    <row r="82" spans="6:15" x14ac:dyDescent="0.25">
      <c r="F82" s="10"/>
      <c r="G82" s="4">
        <f t="shared" si="12"/>
        <v>80</v>
      </c>
      <c r="H82" s="11">
        <f t="shared" si="8"/>
        <v>598.99116341094748</v>
      </c>
      <c r="I82" s="6">
        <f t="shared" si="7"/>
        <v>2936.6813931780439</v>
      </c>
      <c r="J82" s="6">
        <f t="shared" si="9"/>
        <v>3535.6725565889915</v>
      </c>
      <c r="K82" s="7">
        <f t="shared" si="10"/>
        <v>51621.95243569732</v>
      </c>
      <c r="L82" s="9">
        <f t="shared" si="11"/>
        <v>48269</v>
      </c>
      <c r="M82" s="12"/>
      <c r="N82" s="16"/>
      <c r="O82" s="6"/>
    </row>
    <row r="83" spans="6:15" x14ac:dyDescent="0.25">
      <c r="F83" s="10"/>
      <c r="G83" s="4">
        <f t="shared" si="12"/>
        <v>81</v>
      </c>
      <c r="H83" s="11">
        <f t="shared" si="8"/>
        <v>566.74977317041669</v>
      </c>
      <c r="I83" s="6">
        <f t="shared" si="7"/>
        <v>2968.922783418574</v>
      </c>
      <c r="J83" s="6">
        <f t="shared" si="9"/>
        <v>3535.6725565889906</v>
      </c>
      <c r="K83" s="7">
        <f t="shared" si="10"/>
        <v>48653.029652278747</v>
      </c>
      <c r="L83" s="9">
        <f t="shared" si="11"/>
        <v>48298</v>
      </c>
      <c r="M83" s="12"/>
      <c r="N83" s="16"/>
      <c r="O83" s="6"/>
    </row>
    <row r="84" spans="6:15" x14ac:dyDescent="0.25">
      <c r="F84" s="10"/>
      <c r="G84" s="4">
        <f t="shared" si="12"/>
        <v>82</v>
      </c>
      <c r="H84" s="11">
        <f t="shared" si="8"/>
        <v>534.15440947976731</v>
      </c>
      <c r="I84" s="6">
        <f t="shared" si="7"/>
        <v>3001.5181471092242</v>
      </c>
      <c r="J84" s="6">
        <f t="shared" si="9"/>
        <v>3535.6725565889915</v>
      </c>
      <c r="K84" s="7">
        <f t="shared" si="10"/>
        <v>45651.511505169525</v>
      </c>
      <c r="L84" s="9">
        <f t="shared" si="11"/>
        <v>48329</v>
      </c>
      <c r="M84" s="12"/>
      <c r="N84" s="16"/>
      <c r="O84" s="6"/>
    </row>
    <row r="85" spans="6:15" x14ac:dyDescent="0.25">
      <c r="F85" s="10"/>
      <c r="G85" s="4">
        <f t="shared" si="12"/>
        <v>83</v>
      </c>
      <c r="H85" s="11">
        <f t="shared" si="8"/>
        <v>501.20118611689622</v>
      </c>
      <c r="I85" s="6">
        <f t="shared" si="7"/>
        <v>3034.4713704720943</v>
      </c>
      <c r="J85" s="6">
        <f t="shared" si="9"/>
        <v>3535.6725565889906</v>
      </c>
      <c r="K85" s="7">
        <f t="shared" si="10"/>
        <v>42617.040134697432</v>
      </c>
      <c r="L85" s="9">
        <f t="shared" si="11"/>
        <v>48359</v>
      </c>
      <c r="M85" s="12"/>
      <c r="N85" s="16"/>
      <c r="O85" s="6"/>
    </row>
    <row r="86" spans="6:15" x14ac:dyDescent="0.25">
      <c r="F86" s="10"/>
      <c r="G86" s="4">
        <f t="shared" si="12"/>
        <v>84</v>
      </c>
      <c r="H86" s="11">
        <f t="shared" si="8"/>
        <v>467.88617419344314</v>
      </c>
      <c r="I86" s="6">
        <f t="shared" si="7"/>
        <v>3067.7863823955486</v>
      </c>
      <c r="J86" s="6">
        <f t="shared" si="9"/>
        <v>3535.6725565889919</v>
      </c>
      <c r="K86" s="7">
        <f t="shared" si="10"/>
        <v>39549.253752301884</v>
      </c>
      <c r="L86" s="9">
        <f t="shared" si="11"/>
        <v>48390</v>
      </c>
      <c r="M86" s="12"/>
      <c r="N86" s="16"/>
      <c r="O86" s="6"/>
    </row>
    <row r="87" spans="6:15" x14ac:dyDescent="0.25">
      <c r="F87" s="10"/>
      <c r="G87" s="4">
        <f t="shared" si="12"/>
        <v>85</v>
      </c>
      <c r="H87" s="11">
        <f t="shared" si="8"/>
        <v>434.20540168636421</v>
      </c>
      <c r="I87" s="6">
        <f t="shared" si="7"/>
        <v>3101.467154902627</v>
      </c>
      <c r="J87" s="6">
        <f t="shared" si="9"/>
        <v>3535.6725565889915</v>
      </c>
      <c r="K87" s="7">
        <f t="shared" si="10"/>
        <v>36447.786597399259</v>
      </c>
      <c r="L87" s="9">
        <f t="shared" si="11"/>
        <v>48420</v>
      </c>
      <c r="M87" s="12"/>
      <c r="N87" s="16"/>
      <c r="O87" s="6"/>
    </row>
    <row r="88" spans="6:15" x14ac:dyDescent="0.25">
      <c r="F88" s="10"/>
      <c r="G88" s="4">
        <v>86</v>
      </c>
      <c r="H88" s="11">
        <f t="shared" si="8"/>
        <v>400.15485296436265</v>
      </c>
      <c r="I88" s="6">
        <f t="shared" si="7"/>
        <v>3135.5177036246287</v>
      </c>
      <c r="J88" s="6">
        <f t="shared" si="9"/>
        <v>3535.6725565889915</v>
      </c>
      <c r="K88" s="7">
        <f t="shared" si="10"/>
        <v>33312.268893774628</v>
      </c>
      <c r="L88" s="9">
        <f t="shared" si="11"/>
        <v>48451</v>
      </c>
      <c r="M88" s="12"/>
      <c r="N88" s="16"/>
      <c r="O88" s="6"/>
    </row>
    <row r="89" spans="6:15" x14ac:dyDescent="0.25">
      <c r="F89" s="10"/>
      <c r="G89" s="4">
        <v>87</v>
      </c>
      <c r="H89" s="11">
        <f t="shared" si="8"/>
        <v>365.73046830912</v>
      </c>
      <c r="I89" s="6">
        <f t="shared" si="7"/>
        <v>3169.9420882798704</v>
      </c>
      <c r="J89" s="6">
        <f t="shared" si="9"/>
        <v>3535.6725565889906</v>
      </c>
      <c r="K89" s="7">
        <f t="shared" si="10"/>
        <v>30142.326805494758</v>
      </c>
      <c r="L89" s="9">
        <f t="shared" si="11"/>
        <v>48482</v>
      </c>
      <c r="M89" s="12"/>
      <c r="N89" s="16"/>
      <c r="O89" s="6"/>
    </row>
    <row r="90" spans="6:15" x14ac:dyDescent="0.25">
      <c r="F90" s="10"/>
      <c r="G90" s="4">
        <v>88</v>
      </c>
      <c r="H90" s="11">
        <f t="shared" si="8"/>
        <v>330.92814343127162</v>
      </c>
      <c r="I90" s="6">
        <f t="shared" si="7"/>
        <v>3204.7444131577199</v>
      </c>
      <c r="J90" s="6">
        <f t="shared" si="9"/>
        <v>3535.6725565889915</v>
      </c>
      <c r="K90" s="7">
        <f t="shared" si="10"/>
        <v>26937.582392337037</v>
      </c>
      <c r="L90" s="9">
        <f t="shared" si="11"/>
        <v>48512</v>
      </c>
      <c r="M90" s="12"/>
      <c r="N90" s="16"/>
      <c r="O90" s="6"/>
    </row>
    <row r="91" spans="6:15" x14ac:dyDescent="0.25">
      <c r="F91" s="10"/>
      <c r="G91" s="4">
        <v>89</v>
      </c>
      <c r="H91" s="11">
        <f t="shared" si="8"/>
        <v>295.74372898106753</v>
      </c>
      <c r="I91" s="6">
        <f t="shared" si="7"/>
        <v>3239.9288276079242</v>
      </c>
      <c r="J91" s="6">
        <f t="shared" si="9"/>
        <v>3535.6725565889915</v>
      </c>
      <c r="K91" s="7">
        <f t="shared" si="10"/>
        <v>23697.653564729113</v>
      </c>
      <c r="L91" s="9">
        <f t="shared" si="11"/>
        <v>48543</v>
      </c>
      <c r="M91" s="12"/>
      <c r="N91" s="16"/>
      <c r="O91" s="6"/>
    </row>
    <row r="92" spans="6:15" x14ac:dyDescent="0.25">
      <c r="F92" s="10"/>
      <c r="G92" s="4">
        <v>90</v>
      </c>
      <c r="H92" s="11">
        <f t="shared" si="8"/>
        <v>260.17303005366108</v>
      </c>
      <c r="I92" s="6">
        <f t="shared" si="7"/>
        <v>3275.4995265353305</v>
      </c>
      <c r="J92" s="6">
        <f t="shared" si="9"/>
        <v>3535.6725565889915</v>
      </c>
      <c r="K92" s="7">
        <f t="shared" si="10"/>
        <v>20422.154038193781</v>
      </c>
      <c r="L92" s="9">
        <f t="shared" si="11"/>
        <v>48573</v>
      </c>
      <c r="M92" s="12"/>
      <c r="N92" s="16"/>
      <c r="O92" s="6"/>
    </row>
    <row r="93" spans="6:15" x14ac:dyDescent="0.25">
      <c r="F93" s="10"/>
      <c r="G93" s="4">
        <v>91</v>
      </c>
      <c r="H93" s="11">
        <f t="shared" si="8"/>
        <v>224.21180568896642</v>
      </c>
      <c r="I93" s="6">
        <f t="shared" si="7"/>
        <v>3311.4607509000252</v>
      </c>
      <c r="J93" s="6">
        <f t="shared" si="9"/>
        <v>3535.6725565889915</v>
      </c>
      <c r="K93" s="7">
        <f t="shared" si="10"/>
        <v>17110.693287293754</v>
      </c>
      <c r="L93" s="9">
        <f t="shared" si="11"/>
        <v>48604</v>
      </c>
      <c r="M93" s="12"/>
      <c r="N93" s="16"/>
      <c r="O93" s="6"/>
    </row>
    <row r="94" spans="6:15" x14ac:dyDescent="0.25">
      <c r="F94" s="10"/>
      <c r="G94" s="4">
        <v>92</v>
      </c>
      <c r="H94" s="11">
        <f t="shared" si="8"/>
        <v>187.85576836602482</v>
      </c>
      <c r="I94" s="6">
        <f t="shared" si="7"/>
        <v>3347.8167882229659</v>
      </c>
      <c r="J94" s="6">
        <f t="shared" si="9"/>
        <v>3535.6725565889906</v>
      </c>
      <c r="K94" s="7">
        <f t="shared" si="10"/>
        <v>13762.876499070788</v>
      </c>
      <c r="L94" s="9">
        <f t="shared" si="11"/>
        <v>48635</v>
      </c>
      <c r="M94" s="12"/>
      <c r="N94" s="16"/>
      <c r="O94" s="6"/>
    </row>
    <row r="95" spans="6:15" x14ac:dyDescent="0.25">
      <c r="F95" s="10"/>
      <c r="G95" s="4">
        <v>93</v>
      </c>
      <c r="H95" s="11">
        <f t="shared" si="8"/>
        <v>151.10058349181969</v>
      </c>
      <c r="I95" s="6">
        <f t="shared" si="7"/>
        <v>3384.5719730971709</v>
      </c>
      <c r="J95" s="6">
        <f t="shared" si="9"/>
        <v>3535.6725565889906</v>
      </c>
      <c r="K95" s="7">
        <f t="shared" si="10"/>
        <v>10378.304525973617</v>
      </c>
      <c r="L95" s="9">
        <f t="shared" si="11"/>
        <v>48663</v>
      </c>
      <c r="M95" s="12"/>
      <c r="N95" s="16"/>
      <c r="O95" s="6"/>
    </row>
    <row r="96" spans="6:15" x14ac:dyDescent="0.25">
      <c r="F96" s="10"/>
      <c r="G96" s="4">
        <v>94</v>
      </c>
      <c r="H96" s="11">
        <f t="shared" si="8"/>
        <v>113.9418688844794</v>
      </c>
      <c r="I96" s="6">
        <f t="shared" si="7"/>
        <v>3421.7306877045112</v>
      </c>
      <c r="J96" s="6">
        <f t="shared" si="9"/>
        <v>3535.6725565889906</v>
      </c>
      <c r="K96" s="7">
        <f t="shared" si="10"/>
        <v>6956.5738382691061</v>
      </c>
      <c r="L96" s="9">
        <f t="shared" si="11"/>
        <v>48694</v>
      </c>
      <c r="M96" s="12"/>
      <c r="N96" s="16"/>
      <c r="O96" s="6"/>
    </row>
    <row r="97" spans="6:15" x14ac:dyDescent="0.25">
      <c r="F97" s="10"/>
      <c r="G97" s="4">
        <v>95</v>
      </c>
      <c r="H97" s="11">
        <f t="shared" si="8"/>
        <v>76.375194250806388</v>
      </c>
      <c r="I97" s="6">
        <f t="shared" si="7"/>
        <v>3459.297362338184</v>
      </c>
      <c r="J97" s="6">
        <f t="shared" si="9"/>
        <v>3535.6725565889906</v>
      </c>
      <c r="K97" s="7">
        <f t="shared" si="10"/>
        <v>3497.2764759309221</v>
      </c>
      <c r="L97" s="9">
        <f t="shared" si="11"/>
        <v>48724</v>
      </c>
      <c r="M97" s="12"/>
      <c r="N97" s="16"/>
      <c r="O97" s="6"/>
    </row>
    <row r="98" spans="6:15" x14ac:dyDescent="0.25">
      <c r="F98" s="10"/>
      <c r="G98" s="4">
        <v>96</v>
      </c>
      <c r="H98" s="11">
        <f t="shared" si="8"/>
        <v>38.396080658069941</v>
      </c>
      <c r="I98" s="6">
        <f t="shared" si="7"/>
        <v>3497.2764759309221</v>
      </c>
      <c r="J98" s="6">
        <f t="shared" si="9"/>
        <v>3535.6725565889919</v>
      </c>
      <c r="K98" s="7">
        <f t="shared" si="10"/>
        <v>0</v>
      </c>
      <c r="L98" s="9">
        <f t="shared" si="11"/>
        <v>48755</v>
      </c>
      <c r="M98" s="12"/>
      <c r="N98" s="16"/>
      <c r="O98" s="6"/>
    </row>
  </sheetData>
  <mergeCells count="1">
    <mergeCell ref="C9:D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SISTEMA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</dc:creator>
  <cp:lastModifiedBy>Silva Repolho</cp:lastModifiedBy>
  <dcterms:created xsi:type="dcterms:W3CDTF">2015-06-05T18:19:34Z</dcterms:created>
  <dcterms:modified xsi:type="dcterms:W3CDTF">2025-10-30T21:51:13Z</dcterms:modified>
</cp:coreProperties>
</file>